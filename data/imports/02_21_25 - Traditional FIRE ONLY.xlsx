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tional FIRE" sheetId="1" r:id="rId4"/>
    <sheet state="hidden" name="Traditional FIRE Data Pulls" sheetId="2" r:id="rId5"/>
    <sheet state="visible" name="Barista FIRE " sheetId="3" r:id="rId6"/>
  </sheets>
  <definedNames/>
  <calcPr/>
  <extLst>
    <ext uri="GoogleSheetsCustomDataVersion2">
      <go:sheetsCustomData xmlns:go="http://customooxmlschemas.google.com/" r:id="rId7" roundtripDataChecksum="dOPjfMpn3fPJX9BDtR7ludVxHpqmwrI+44b7UbIXuc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4">
      <text>
        <t xml:space="preserve">======
ID#AAAB0ogtZ6s
Brad Pouncey    (2026-02-21 22:01:43)
Adjusted to:
=(Est. Monthly Spend in Retirement × 12) ÷ SWR</t>
      </text>
    </comment>
    <comment authorId="0" ref="F15">
      <text>
        <t xml:space="preserve">======
ID#AAAB0ogtZ6k
    (2026-02-21 18:42:41)
The year when your investments reach the Coast FIRE number</t>
      </text>
    </comment>
    <comment authorId="0" ref="F16">
      <text>
        <t xml:space="preserve">======
ID#AAAB0ogtZ6Y
    (2026-02-21 18:42:41)
How long until you reach Coast FIRE</t>
      </text>
    </comment>
    <comment authorId="0" ref="F14">
      <text>
        <t xml:space="preserve">======
ID#AAAB0ogtZ6U
    (2026-02-21 18:42:41)
The amount needed today that, if never added to again, would grow to support traditional retirement at age 65</t>
      </text>
    </comment>
    <comment authorId="0" ref="B8">
      <text>
        <t xml:space="preserve">======
ID#AAAB0ogtZ6Q
    (2026-02-21 18:42:41)
This should be a pre-tax number because tax will be deducted based on your effective tax rate. If you are self-employed, use a reasonable annual estimate/average.</t>
      </text>
    </comment>
    <comment authorId="0" ref="B14">
      <text>
        <t xml:space="preserve">======
ID#AAAB0ogtZ6I
    (2026-02-21 18:42:41)
When your total investment balance reaches this number, you will be able to withdraw 4% from your investments for 30 years to cover the annual expenses you've input.</t>
      </text>
    </comment>
    <comment authorId="0" ref="B10">
      <text>
        <t xml:space="preserve">======
ID#AAAB0ogtZ6M
    (2026-02-21 18:42:41)
This is most related / important relevant to your Coast FI Number.</t>
      </text>
    </comment>
    <comment authorId="0" ref="F9">
      <text>
        <t xml:space="preserve">======
ID#AAAB0ogtZ6A
    (2026-02-21 18:42:41)
You can use 4% if you want to follow the Trinity Study, or adjust to 3% to be more conservative.</t>
      </text>
    </comment>
    <comment authorId="0" ref="B16">
      <text>
        <t xml:space="preserve">======
ID#AAAB0ogtZ6E
    (2026-02-21 18:42:41)
Years remaining to hit traditional FIRE</t>
      </text>
    </comment>
    <comment authorId="0" ref="F7">
      <text>
        <t xml:space="preserve">======
ID#AAAB0ogtZ58
    (2026-02-21 18:42:41)
The "average" tax rate you'll pay annually. A general estimate is 30% but you can discuss with your accountant or run a calculation yourself to find something more precise if you wish!</t>
      </text>
    </comment>
    <comment authorId="0" ref="B15">
      <text>
        <t xml:space="preserve">======
ID#AAAB0nk3OE8
    (2026-02-21 18:42:41)
The year you will reach traditional financial independence</t>
      </text>
    </comment>
    <comment authorId="0" ref="F10">
      <text>
        <t xml:space="preserve">======
ID#AAAB0nk3OE0
    (2026-02-21 18:42:41)
Be conservative and include a buffer. This is going to help calculate your FI/RE number</t>
      </text>
    </comment>
    <comment authorId="0" ref="F8">
      <text>
        <t xml:space="preserve">======
ID#AAAB0nk3OE4
    (2026-02-21 18:42:41)
The historical return on the S&amp;P500 is 10%, but to adjust for inflation I recommend a conservative 7% forecast here.</t>
      </text>
    </comment>
  </commentList>
  <extLst>
    <ext uri="GoogleSheetsCustomDataVersion2">
      <go:sheetsCustomData xmlns:go="http://customooxmlschemas.google.com/" r:id="rId1" roundtripDataSignature="AMtx7mgs6Vfqd9LTh7wPT0NIh6/9EXNF9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9">
      <text>
        <t xml:space="preserve">======
ID#AAAB0ogtZ6o
    (2026-02-21 18:42:41)
This milestone may be slightly different than your nest egg target because it is calculating when your save withdrawal is greater than or equal to the % of expenses you want covered by your investments.</t>
      </text>
    </comment>
    <comment authorId="0" ref="F8">
      <text>
        <t xml:space="preserve">======
ID#AAAB0ogtZ6c
    (2026-02-21 18:42:41)
The historical return on the S&amp;P500 is 10%, but to adjust for inflation I recommend a conservative 7% forecast here.</t>
      </text>
    </comment>
    <comment authorId="0" ref="F9">
      <text>
        <t xml:space="preserve">======
ID#AAAB0ogtZ6g
    (2026-02-21 18:42:41)
You can use 4% if you want to follow the Trinity Study, or adjust to 3% to be more conservative.</t>
      </text>
    </comment>
    <comment authorId="0" ref="F10">
      <text>
        <t xml:space="preserve">======
ID#AAAB0nk3OEw
    (2026-02-21 18:42:41)
How much of your annual income do you want covered by investments? This will dictate how much you need to earn</t>
      </text>
    </comment>
  </commentList>
  <extLst>
    <ext uri="GoogleSheetsCustomDataVersion2">
      <go:sheetsCustomData xmlns:go="http://customooxmlschemas.google.com/" r:id="rId1" roundtripDataSignature="AMtx7mjbFozD+WXCFPg568dnoC4dQyHoow=="/>
    </ext>
  </extLst>
</comments>
</file>

<file path=xl/sharedStrings.xml><?xml version="1.0" encoding="utf-8"?>
<sst xmlns="http://schemas.openxmlformats.org/spreadsheetml/2006/main" count="86" uniqueCount="59">
  <si>
    <t>Traditional and Coast FI/RE Journey Summary</t>
  </si>
  <si>
    <t xml:space="preserve">Starting Inputs </t>
  </si>
  <si>
    <t>Projections</t>
  </si>
  <si>
    <t>Year</t>
  </si>
  <si>
    <t>Salary Growth Rate</t>
  </si>
  <si>
    <t>Age</t>
  </si>
  <si>
    <t>Inflation Rate</t>
  </si>
  <si>
    <t>Monthly Spend</t>
  </si>
  <si>
    <t>Effective Tax Rate</t>
  </si>
  <si>
    <t xml:space="preserve">PRETAX Annual Salary </t>
  </si>
  <si>
    <t>Investment Return</t>
  </si>
  <si>
    <t>Starting Investments</t>
  </si>
  <si>
    <t>Safe Withdrawal Rate</t>
  </si>
  <si>
    <t>Target Retirement Age</t>
  </si>
  <si>
    <t>Estimated Monthly Spend in Retirement</t>
  </si>
  <si>
    <t xml:space="preserve"> Financial Independence Summary</t>
  </si>
  <si>
    <t>Traditional FI/RE</t>
  </si>
  <si>
    <t>Coast FIRE</t>
  </si>
  <si>
    <t>FI/RE NUMBER</t>
  </si>
  <si>
    <t>Coast FI/RE Number</t>
  </si>
  <si>
    <t xml:space="preserve"> Year:</t>
  </si>
  <si>
    <t>Coast FI/RE Year</t>
  </si>
  <si>
    <t xml:space="preserve">Years to FI: </t>
  </si>
  <si>
    <t>Years to Coast FI/RE</t>
  </si>
  <si>
    <t>Calendar Year</t>
  </si>
  <si>
    <t>Annual Salary</t>
  </si>
  <si>
    <t>Monthly Income (after tax)</t>
  </si>
  <si>
    <t>Monthly Spend Adjust</t>
  </si>
  <si>
    <t>Monthly Save</t>
  </si>
  <si>
    <t>Monthly Save Adjust</t>
  </si>
  <si>
    <t xml:space="preserve">Lump Sum/Annual  Savings  Adjustment </t>
  </si>
  <si>
    <t>Annual Spend</t>
  </si>
  <si>
    <t>Annual Saved</t>
  </si>
  <si>
    <t>Cumulative Savings</t>
  </si>
  <si>
    <t>Total Invested Balance (EOY)</t>
  </si>
  <si>
    <t>Investment Returns</t>
  </si>
  <si>
    <t>Safe Withdrawal</t>
  </si>
  <si>
    <t>When Safe Withdrawal = Annual Spending</t>
  </si>
  <si>
    <t>Milestone</t>
  </si>
  <si>
    <t>Total Contributions</t>
  </si>
  <si>
    <t>% from Contributions</t>
  </si>
  <si>
    <t>Total Returns</t>
  </si>
  <si>
    <t xml:space="preserve">% from Returns </t>
  </si>
  <si>
    <t>Barista FI/RE Journey Summary</t>
  </si>
  <si>
    <t>Income Growth Rate</t>
  </si>
  <si>
    <t xml:space="preserve">Annual Income </t>
  </si>
  <si>
    <t xml:space="preserve">Current Portoflio Value </t>
  </si>
  <si>
    <t>Target Barista FI/RE Age</t>
  </si>
  <si>
    <t>% of Income Covered by Investments</t>
  </si>
  <si>
    <t>Barista FIRE Summary</t>
  </si>
  <si>
    <t>Targets</t>
  </si>
  <si>
    <t>Insights</t>
  </si>
  <si>
    <t>Target Nest Egg</t>
  </si>
  <si>
    <t>Current Progress</t>
  </si>
  <si>
    <t>Target Achieved</t>
  </si>
  <si>
    <t xml:space="preserve">Years to Target </t>
  </si>
  <si>
    <t>BARISTA FIRE</t>
  </si>
  <si>
    <t>Annual Save Adjust</t>
  </si>
  <si>
    <t xml:space="preserve">Part-Time Income Needed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</si>
</sst>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&quot;$&quot;#,##0"/>
    <numFmt numFmtId="166" formatCode="0.0%"/>
    <numFmt numFmtId="167" formatCode="0.000%"/>
    <numFmt numFmtId="168" formatCode="_(&quot;$&quot;* #,##0.00_);_(&quot;$&quot;* \(#,##0.00\);_(&quot;$&quot;* &quot;-&quot;??_);_(@_)"/>
  </numFmts>
  <fonts count="15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b/>
      <sz val="18.0"/>
      <color rgb="FFFFFFFF"/>
      <name val="Calibri"/>
    </font>
    <font/>
    <font>
      <b/>
      <sz val="13.0"/>
      <color theme="1"/>
      <name val="Calibri"/>
    </font>
    <font>
      <b/>
      <i/>
      <sz val="13.0"/>
      <color rgb="FFFFFFFF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i/>
      <sz val="14.0"/>
      <color rgb="FFFFFFFF"/>
      <name val="Calibri"/>
    </font>
    <font>
      <b/>
      <sz val="13.0"/>
      <color rgb="FFFFFFFF"/>
      <name val="Calibri"/>
    </font>
    <font>
      <b/>
      <color rgb="FFFFFFFF"/>
      <name val="Calibri"/>
    </font>
    <font>
      <b/>
      <i/>
      <color rgb="FFFFFFFF"/>
      <name val="Calibri"/>
    </font>
    <font>
      <i/>
      <color theme="1"/>
      <name val="Calibri"/>
    </font>
    <font>
      <b/>
      <i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2253A"/>
        <bgColor rgb="FF12253A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A6C7DB"/>
        <bgColor rgb="FFA6C7DB"/>
      </patternFill>
    </fill>
    <fill>
      <patternFill patternType="solid">
        <fgColor rgb="FFDAE3E8"/>
        <bgColor rgb="FFDAE3E8"/>
      </patternFill>
    </fill>
    <fill>
      <patternFill patternType="solid">
        <fgColor rgb="FFF3F9FC"/>
        <bgColor rgb="FFF3F9FC"/>
      </patternFill>
    </fill>
  </fills>
  <borders count="34">
    <border/>
    <border>
      <left style="thick">
        <color rgb="FF12253A"/>
      </left>
      <top style="thick">
        <color rgb="FF12253A"/>
      </top>
      <bottom style="thick">
        <color rgb="FF12253A"/>
      </bottom>
    </border>
    <border>
      <top style="thick">
        <color rgb="FF12253A"/>
      </top>
      <bottom style="thick">
        <color rgb="FF12253A"/>
      </bottom>
    </border>
    <border>
      <right style="thick">
        <color rgb="FF12253A"/>
      </right>
      <top style="thick">
        <color rgb="FF12253A"/>
      </top>
      <bottom style="thick">
        <color rgb="FF12253A"/>
      </bottom>
    </border>
    <border>
      <left style="thick">
        <color rgb="FF12253A"/>
      </left>
      <top style="thick">
        <color rgb="FF12253A"/>
      </top>
      <bottom style="medium">
        <color rgb="FF12253A"/>
      </bottom>
    </border>
    <border>
      <top style="thick">
        <color rgb="FF12253A"/>
      </top>
      <bottom style="medium">
        <color rgb="FF12253A"/>
      </bottom>
    </border>
    <border>
      <right style="thick">
        <color rgb="FF12253A"/>
      </right>
      <top style="thick">
        <color rgb="FF12253A"/>
      </top>
      <bottom style="medium">
        <color rgb="FF12253A"/>
      </bottom>
    </border>
    <border>
      <left style="thick">
        <color rgb="FF12253A"/>
      </left>
      <bottom style="medium">
        <color rgb="FF12253A"/>
      </bottom>
    </border>
    <border>
      <bottom style="medium">
        <color rgb="FF12253A"/>
      </bottom>
    </border>
    <border>
      <right style="thick">
        <color rgb="FF12253A"/>
      </right>
      <bottom style="medium">
        <color rgb="FF12253A"/>
      </bottom>
    </border>
    <border>
      <left style="thick">
        <color rgb="FF12253A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right style="thick">
        <color rgb="FF12253A"/>
      </right>
      <bottom style="thin">
        <color rgb="FFCCCCCC"/>
      </bottom>
    </border>
    <border>
      <left style="thick">
        <color rgb="FF12253A"/>
      </left>
      <bottom style="thick">
        <color rgb="FF12253A"/>
      </bottom>
    </border>
    <border>
      <right style="thin">
        <color rgb="FFCCCCCC"/>
      </right>
      <bottom style="thick">
        <color rgb="FF12253A"/>
      </bottom>
    </border>
    <border>
      <right style="thick">
        <color rgb="FF12253A"/>
      </right>
      <bottom style="thick">
        <color rgb="FF12253A"/>
      </bottom>
    </border>
    <border>
      <left style="thick">
        <color rgb="FF12253A"/>
      </left>
      <bottom style="thin">
        <color rgb="FFD9D9D9"/>
      </bottom>
    </border>
    <border>
      <bottom style="thin">
        <color rgb="FFD9D9D9"/>
      </bottom>
    </border>
    <border>
      <right style="thick">
        <color rgb="FF12253A"/>
      </right>
    </border>
    <border>
      <right style="thick">
        <color rgb="FF12253A"/>
      </right>
      <bottom style="thin">
        <color rgb="FFD9D9D9"/>
      </bottom>
    </border>
    <border>
      <right style="thick">
        <color rgb="FF12253A"/>
      </right>
      <top style="thin">
        <color rgb="FFCCCCCC"/>
      </top>
      <bottom style="thin">
        <color rgb="FFCCCCCC"/>
      </bottom>
    </border>
    <border>
      <bottom style="thick">
        <color rgb="FF12253A"/>
      </bottom>
    </border>
    <border>
      <top style="thick">
        <color rgb="FF12253A"/>
      </top>
    </border>
    <border>
      <left style="thin">
        <color rgb="FF12253A"/>
      </left>
      <top style="thick">
        <color rgb="FF12253A"/>
      </top>
    </border>
    <border>
      <right style="medium">
        <color rgb="FF12253A"/>
      </right>
      <top style="thick">
        <color rgb="FF12253A"/>
      </top>
    </border>
    <border>
      <right style="thin">
        <color rgb="FF12253A"/>
      </right>
      <top style="thick">
        <color rgb="FF12253A"/>
      </top>
    </border>
    <border>
      <right style="thick">
        <color rgb="FF12253A"/>
      </right>
      <top style="thick">
        <color rgb="FF12253A"/>
      </top>
    </border>
    <border>
      <left style="thick">
        <color rgb="FF12253A"/>
      </left>
    </border>
    <border>
      <left style="thin">
        <color rgb="FF12253A"/>
      </left>
    </border>
    <border>
      <right style="medium">
        <color rgb="FF12253A"/>
      </right>
    </border>
    <border>
      <right style="thin">
        <color rgb="FF12253A"/>
      </right>
    </border>
    <border>
      <left style="thin">
        <color rgb="FF12253A"/>
      </left>
      <bottom style="thick">
        <color rgb="FF12253A"/>
      </bottom>
    </border>
    <border>
      <right style="medium">
        <color rgb="FF12253A"/>
      </right>
      <bottom style="thick">
        <color rgb="FF12253A"/>
      </bottom>
    </border>
    <border>
      <left style="thick">
        <color rgb="FF12253A"/>
      </left>
      <top style="thick">
        <color rgb="FF12253A"/>
      </top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 shrinkToFit="0" vertical="center" wrapText="1"/>
    </xf>
    <xf borderId="0" fillId="0" fontId="2" numFmtId="165" xfId="0" applyAlignment="1" applyFont="1" applyNumberFormat="1">
      <alignment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2" fontId="6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9" fillId="0" fontId="4" numFmtId="0" xfId="0" applyBorder="1" applyFont="1"/>
    <xf borderId="0" fillId="0" fontId="2" numFmtId="166" xfId="0" applyAlignment="1" applyFont="1" applyNumberFormat="1">
      <alignment shrinkToFit="0" vertical="center" wrapText="1"/>
    </xf>
    <xf borderId="10" fillId="3" fontId="7" numFmtId="0" xfId="0" applyAlignment="1" applyBorder="1" applyFill="1" applyFont="1">
      <alignment horizontal="center" shrinkToFit="0" vertical="center" wrapText="1"/>
    </xf>
    <xf borderId="11" fillId="0" fontId="4" numFmtId="0" xfId="0" applyBorder="1" applyFont="1"/>
    <xf borderId="12" fillId="4" fontId="8" numFmtId="0" xfId="0" applyAlignment="1" applyBorder="1" applyFill="1" applyFont="1">
      <alignment horizontal="center" vertical="center"/>
    </xf>
    <xf borderId="12" fillId="4" fontId="8" numFmtId="167" xfId="0" applyAlignment="1" applyBorder="1" applyFont="1" applyNumberFormat="1">
      <alignment horizontal="center" vertical="center"/>
    </xf>
    <xf borderId="12" fillId="4" fontId="8" numFmtId="9" xfId="0" applyAlignment="1" applyBorder="1" applyFont="1" applyNumberFormat="1">
      <alignment horizontal="center"/>
    </xf>
    <xf borderId="12" fillId="4" fontId="8" numFmtId="9" xfId="0" applyAlignment="1" applyBorder="1" applyFont="1" applyNumberFormat="1">
      <alignment horizontal="center" vertical="center"/>
    </xf>
    <xf borderId="12" fillId="4" fontId="8" numFmtId="165" xfId="0" applyAlignment="1" applyBorder="1" applyFont="1" applyNumberFormat="1">
      <alignment horizontal="center" readingOrder="0" vertical="center"/>
    </xf>
    <xf borderId="12" fillId="4" fontId="8" numFmtId="166" xfId="0" applyAlignment="1" applyBorder="1" applyFont="1" applyNumberFormat="1">
      <alignment horizontal="center" vertical="center"/>
    </xf>
    <xf borderId="12" fillId="4" fontId="8" numFmtId="165" xfId="0" applyAlignment="1" applyBorder="1" applyFont="1" applyNumberFormat="1">
      <alignment horizontal="center" vertical="center"/>
    </xf>
    <xf borderId="13" fillId="3" fontId="7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4" fontId="8" numFmtId="0" xfId="0" applyAlignment="1" applyBorder="1" applyFont="1">
      <alignment horizontal="center" vertical="center"/>
    </xf>
    <xf borderId="15" fillId="4" fontId="8" numFmtId="165" xfId="0" applyAlignment="1" applyBorder="1" applyFont="1" applyNumberFormat="1">
      <alignment horizontal="center" vertical="center"/>
    </xf>
    <xf borderId="4" fillId="5" fontId="9" numFmtId="0" xfId="0" applyAlignment="1" applyBorder="1" applyFill="1" applyFont="1">
      <alignment horizontal="center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16" fillId="6" fontId="7" numFmtId="0" xfId="0" applyAlignment="1" applyBorder="1" applyFill="1" applyFont="1">
      <alignment horizontal="center" shrinkToFit="0" vertical="center" wrapText="1"/>
    </xf>
    <xf borderId="17" fillId="0" fontId="4" numFmtId="0" xfId="0" applyBorder="1" applyFont="1"/>
    <xf borderId="18" fillId="6" fontId="8" numFmtId="165" xfId="0" applyAlignment="1" applyBorder="1" applyFont="1" applyNumberFormat="1">
      <alignment horizontal="center" vertical="center"/>
    </xf>
    <xf borderId="19" fillId="6" fontId="8" numFmtId="165" xfId="0" applyAlignment="1" applyBorder="1" applyFont="1" applyNumberFormat="1">
      <alignment horizontal="center" vertical="center"/>
    </xf>
    <xf borderId="20" fillId="6" fontId="8" numFmtId="0" xfId="0" applyAlignment="1" applyBorder="1" applyFont="1">
      <alignment horizontal="center" vertical="center"/>
    </xf>
    <xf borderId="0" fillId="0" fontId="1" numFmtId="165" xfId="0" applyFont="1" applyNumberFormat="1"/>
    <xf borderId="19" fillId="6" fontId="8" numFmtId="0" xfId="0" applyAlignment="1" applyBorder="1" applyFont="1">
      <alignment horizontal="center" vertical="center"/>
    </xf>
    <xf borderId="13" fillId="6" fontId="7" numFmtId="0" xfId="0" applyAlignment="1" applyBorder="1" applyFont="1">
      <alignment horizontal="center" shrinkToFit="0" vertical="center" wrapText="1"/>
    </xf>
    <xf borderId="21" fillId="0" fontId="4" numFmtId="0" xfId="0" applyBorder="1" applyFont="1"/>
    <xf borderId="15" fillId="6" fontId="8" numFmtId="0" xfId="0" applyAlignment="1" applyBorder="1" applyFont="1">
      <alignment horizontal="center" shrinkToFit="0" vertical="center" wrapText="1"/>
    </xf>
    <xf borderId="15" fillId="6" fontId="8" numFmtId="0" xfId="0" applyAlignment="1" applyBorder="1" applyFont="1">
      <alignment horizontal="center" vertical="center"/>
    </xf>
    <xf borderId="0" fillId="0" fontId="1" numFmtId="10" xfId="0" applyFont="1" applyNumberFormat="1"/>
    <xf borderId="22" fillId="2" fontId="11" numFmtId="0" xfId="0" applyAlignment="1" applyBorder="1" applyFont="1">
      <alignment horizontal="center" shrinkToFit="0" vertical="center" wrapText="1"/>
    </xf>
    <xf borderId="23" fillId="2" fontId="11" numFmtId="0" xfId="0" applyAlignment="1" applyBorder="1" applyFont="1">
      <alignment horizontal="center" shrinkToFit="0" vertical="center" wrapText="1"/>
    </xf>
    <xf borderId="22" fillId="2" fontId="12" numFmtId="49" xfId="0" applyAlignment="1" applyBorder="1" applyFont="1" applyNumberFormat="1">
      <alignment horizontal="center" shrinkToFit="0" vertical="center" wrapText="1"/>
    </xf>
    <xf borderId="24" fillId="2" fontId="11" numFmtId="49" xfId="0" applyAlignment="1" applyBorder="1" applyFont="1" applyNumberFormat="1">
      <alignment horizontal="center" shrinkToFit="0" vertical="center" wrapText="1"/>
    </xf>
    <xf borderId="24" fillId="2" fontId="12" numFmtId="49" xfId="0" applyAlignment="1" applyBorder="1" applyFont="1" applyNumberFormat="1">
      <alignment horizontal="center" shrinkToFit="0" vertical="center" wrapText="1"/>
    </xf>
    <xf borderId="25" fillId="2" fontId="11" numFmtId="0" xfId="0" applyAlignment="1" applyBorder="1" applyFont="1">
      <alignment horizontal="center" shrinkToFit="0" vertical="center" wrapText="1"/>
    </xf>
    <xf borderId="24" fillId="2" fontId="11" numFmtId="0" xfId="0" applyAlignment="1" applyBorder="1" applyFont="1">
      <alignment horizontal="center" shrinkToFit="0" vertical="center" wrapText="1"/>
    </xf>
    <xf borderId="22" fillId="2" fontId="11" numFmtId="164" xfId="0" applyAlignment="1" applyBorder="1" applyFont="1" applyNumberFormat="1">
      <alignment horizontal="center" shrinkToFit="0" vertical="center" wrapText="1"/>
    </xf>
    <xf borderId="26" fillId="2" fontId="12" numFmtId="0" xfId="0" applyAlignment="1" applyBorder="1" applyFont="1">
      <alignment horizontal="center" shrinkToFit="0" vertical="center" wrapText="1"/>
    </xf>
    <xf borderId="27" fillId="0" fontId="1" numFmtId="0" xfId="0" applyBorder="1" applyFont="1"/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/>
    </xf>
    <xf borderId="28" fillId="0" fontId="1" numFmtId="165" xfId="0" applyAlignment="1" applyBorder="1" applyFont="1" applyNumberFormat="1">
      <alignment horizontal="center"/>
    </xf>
    <xf borderId="0" fillId="6" fontId="13" numFmtId="165" xfId="0" applyFont="1" applyNumberFormat="1"/>
    <xf borderId="29" fillId="0" fontId="1" numFmtId="165" xfId="0" applyAlignment="1" applyBorder="1" applyFont="1" applyNumberFormat="1">
      <alignment horizontal="center"/>
    </xf>
    <xf borderId="29" fillId="6" fontId="13" numFmtId="165" xfId="0" applyBorder="1" applyFont="1" applyNumberFormat="1"/>
    <xf borderId="30" fillId="0" fontId="1" numFmtId="165" xfId="0" applyAlignment="1" applyBorder="1" applyFont="1" applyNumberFormat="1">
      <alignment horizontal="center"/>
    </xf>
    <xf borderId="29" fillId="0" fontId="1" numFmtId="0" xfId="0" applyAlignment="1" applyBorder="1" applyFont="1">
      <alignment horizontal="center"/>
    </xf>
    <xf borderId="0" fillId="0" fontId="1" numFmtId="164" xfId="0" applyAlignment="1" applyFont="1" applyNumberFormat="1">
      <alignment horizontal="center"/>
    </xf>
    <xf borderId="18" fillId="0" fontId="13" numFmtId="0" xfId="0" applyAlignment="1" applyBorder="1" applyFont="1">
      <alignment horizontal="center"/>
    </xf>
    <xf borderId="27" fillId="7" fontId="1" numFmtId="0" xfId="0" applyAlignment="1" applyBorder="1" applyFill="1" applyFont="1">
      <alignment horizontal="center"/>
    </xf>
    <xf borderId="0" fillId="7" fontId="1" numFmtId="0" xfId="0" applyAlignment="1" applyFont="1">
      <alignment horizontal="center"/>
    </xf>
    <xf borderId="0" fillId="7" fontId="1" numFmtId="168" xfId="0" applyAlignment="1" applyFont="1" applyNumberFormat="1">
      <alignment horizontal="center"/>
    </xf>
    <xf borderId="28" fillId="7" fontId="1" numFmtId="168" xfId="0" applyAlignment="1" applyBorder="1" applyFont="1" applyNumberFormat="1">
      <alignment horizontal="center"/>
    </xf>
    <xf borderId="0" fillId="6" fontId="13" numFmtId="168" xfId="0" applyFont="1" applyNumberFormat="1"/>
    <xf borderId="29" fillId="6" fontId="13" numFmtId="168" xfId="0" applyBorder="1" applyFont="1" applyNumberFormat="1"/>
    <xf borderId="29" fillId="7" fontId="1" numFmtId="168" xfId="0" applyAlignment="1" applyBorder="1" applyFont="1" applyNumberFormat="1">
      <alignment horizontal="center"/>
    </xf>
    <xf borderId="0" fillId="7" fontId="1" numFmtId="164" xfId="0" applyAlignment="1" applyFont="1" applyNumberFormat="1">
      <alignment horizontal="center"/>
    </xf>
    <xf borderId="18" fillId="7" fontId="13" numFmtId="0" xfId="0" applyAlignment="1" applyBorder="1" applyFont="1">
      <alignment horizontal="center"/>
    </xf>
    <xf borderId="0" fillId="0" fontId="1" numFmtId="168" xfId="0" applyFont="1" applyNumberFormat="1"/>
    <xf borderId="27" fillId="0" fontId="1" numFmtId="0" xfId="0" applyAlignment="1" applyBorder="1" applyFont="1">
      <alignment horizontal="center"/>
    </xf>
    <xf borderId="0" fillId="0" fontId="1" numFmtId="168" xfId="0" applyAlignment="1" applyFont="1" applyNumberFormat="1">
      <alignment horizontal="center"/>
    </xf>
    <xf borderId="28" fillId="0" fontId="1" numFmtId="168" xfId="0" applyAlignment="1" applyBorder="1" applyFont="1" applyNumberFormat="1">
      <alignment horizontal="center"/>
    </xf>
    <xf borderId="29" fillId="0" fontId="1" numFmtId="168" xfId="0" applyAlignment="1" applyBorder="1" applyFont="1" applyNumberFormat="1">
      <alignment horizontal="center"/>
    </xf>
    <xf borderId="29" fillId="6" fontId="13" numFmtId="168" xfId="0" applyAlignment="1" applyBorder="1" applyFont="1" applyNumberFormat="1">
      <alignment horizontal="right" vertical="bottom"/>
    </xf>
    <xf borderId="13" fillId="7" fontId="1" numFmtId="0" xfId="0" applyAlignment="1" applyBorder="1" applyFont="1">
      <alignment horizontal="center"/>
    </xf>
    <xf borderId="21" fillId="7" fontId="1" numFmtId="0" xfId="0" applyAlignment="1" applyBorder="1" applyFont="1">
      <alignment horizontal="center"/>
    </xf>
    <xf borderId="21" fillId="7" fontId="1" numFmtId="168" xfId="0" applyAlignment="1" applyBorder="1" applyFont="1" applyNumberFormat="1">
      <alignment horizontal="center"/>
    </xf>
    <xf borderId="31" fillId="7" fontId="1" numFmtId="168" xfId="0" applyAlignment="1" applyBorder="1" applyFont="1" applyNumberFormat="1">
      <alignment horizontal="center"/>
    </xf>
    <xf borderId="21" fillId="6" fontId="13" numFmtId="168" xfId="0" applyBorder="1" applyFont="1" applyNumberFormat="1"/>
    <xf borderId="32" fillId="6" fontId="13" numFmtId="168" xfId="0" applyBorder="1" applyFont="1" applyNumberFormat="1"/>
    <xf borderId="32" fillId="7" fontId="1" numFmtId="168" xfId="0" applyAlignment="1" applyBorder="1" applyFont="1" applyNumberFormat="1">
      <alignment horizontal="center"/>
    </xf>
    <xf borderId="21" fillId="7" fontId="1" numFmtId="164" xfId="0" applyAlignment="1" applyBorder="1" applyFont="1" applyNumberFormat="1">
      <alignment horizontal="center"/>
    </xf>
    <xf borderId="15" fillId="7" fontId="13" numFmtId="0" xfId="0" applyAlignment="1" applyBorder="1" applyFont="1">
      <alignment horizontal="center"/>
    </xf>
    <xf borderId="0" fillId="0" fontId="14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/>
    </xf>
    <xf borderId="0" fillId="0" fontId="13" numFmtId="166" xfId="0" applyFont="1" applyNumberFormat="1"/>
    <xf borderId="0" fillId="0" fontId="13" numFmtId="0" xfId="0" applyFont="1"/>
    <xf borderId="0" fillId="0" fontId="13" numFmtId="165" xfId="0" applyAlignment="1" applyFont="1" applyNumberFormat="1">
      <alignment horizontal="center"/>
    </xf>
    <xf borderId="0" fillId="0" fontId="13" numFmtId="165" xfId="0" applyFont="1" applyNumberFormat="1"/>
    <xf borderId="0" fillId="0" fontId="1" numFmtId="9" xfId="0" applyFont="1" applyNumberFormat="1"/>
    <xf borderId="15" fillId="4" fontId="8" numFmtId="9" xfId="0" applyAlignment="1" applyBorder="1" applyFont="1" applyNumberFormat="1">
      <alignment horizontal="center" vertical="center"/>
    </xf>
    <xf borderId="20" fillId="6" fontId="8" numFmtId="166" xfId="0" applyAlignment="1" applyBorder="1" applyFont="1" applyNumberFormat="1">
      <alignment horizontal="center" vertical="center"/>
    </xf>
    <xf borderId="27" fillId="6" fontId="7" numFmtId="0" xfId="0" applyAlignment="1" applyBorder="1" applyFont="1">
      <alignment horizontal="center" shrinkToFit="0" vertical="center" wrapText="1"/>
    </xf>
    <xf borderId="18" fillId="0" fontId="4" numFmtId="0" xfId="0" applyBorder="1" applyFont="1"/>
    <xf borderId="13" fillId="0" fontId="4" numFmtId="0" xfId="0" applyBorder="1" applyFont="1"/>
    <xf borderId="15" fillId="0" fontId="4" numFmtId="0" xfId="0" applyBorder="1" applyFont="1"/>
    <xf borderId="0" fillId="6" fontId="2" numFmtId="164" xfId="0" applyAlignment="1" applyFont="1" applyNumberFormat="1">
      <alignment horizontal="center" shrinkToFit="0" vertical="center" wrapText="1"/>
    </xf>
    <xf borderId="33" fillId="2" fontId="11" numFmtId="0" xfId="0" applyAlignment="1" applyBorder="1" applyFont="1">
      <alignment horizontal="center" shrinkToFit="0" vertical="center" wrapText="1"/>
    </xf>
    <xf borderId="27" fillId="7" fontId="1" numFmtId="0" xfId="0" applyBorder="1" applyFont="1"/>
    <xf borderId="0" fillId="7" fontId="1" numFmtId="165" xfId="0" applyAlignment="1" applyFont="1" applyNumberFormat="1">
      <alignment horizontal="center"/>
    </xf>
    <xf borderId="28" fillId="7" fontId="1" numFmtId="165" xfId="0" applyAlignment="1" applyBorder="1" applyFont="1" applyNumberFormat="1">
      <alignment horizontal="center"/>
    </xf>
    <xf borderId="29" fillId="7" fontId="1" numFmtId="165" xfId="0" applyAlignment="1" applyBorder="1" applyFont="1" applyNumberFormat="1">
      <alignment horizontal="center"/>
    </xf>
    <xf borderId="13" fillId="0" fontId="1" numFmtId="0" xfId="0" applyBorder="1" applyFont="1"/>
    <xf borderId="21" fillId="7" fontId="1" numFmtId="165" xfId="0" applyAlignment="1" applyBorder="1" applyFont="1" applyNumberFormat="1">
      <alignment horizontal="center"/>
    </xf>
    <xf borderId="31" fillId="7" fontId="1" numFmtId="165" xfId="0" applyAlignment="1" applyBorder="1" applyFont="1" applyNumberFormat="1">
      <alignment horizontal="center"/>
    </xf>
    <xf borderId="21" fillId="6" fontId="13" numFmtId="165" xfId="0" applyBorder="1" applyFont="1" applyNumberFormat="1"/>
    <xf borderId="32" fillId="6" fontId="13" numFmtId="165" xfId="0" applyBorder="1" applyFont="1" applyNumberFormat="1"/>
    <xf borderId="32" fillId="7" fontId="1" numFmtId="165" xfId="0" applyAlignment="1" applyBorder="1" applyFont="1" applyNumberFormat="1">
      <alignment horizontal="center"/>
    </xf>
    <xf borderId="21" fillId="0" fontId="1" numFmtId="165" xfId="0" applyAlignment="1" applyBorder="1" applyFont="1" applyNumberFormat="1">
      <alignment horizontal="center"/>
    </xf>
    <xf borderId="32" fillId="0" fontId="1" numFmtId="165" xfId="0" applyAlignment="1" applyBorder="1" applyFont="1" applyNumberForma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Investment Growth Over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'Traditional FIRE'!$N$19</c:f>
            </c:strRef>
          </c:tx>
          <c:spPr>
            <a:solidFill>
              <a:srgbClr val="DAE3E8"/>
            </a:solidFill>
            <a:ln cmpd="sng">
              <a:solidFill>
                <a:srgbClr val="000000"/>
              </a:solidFill>
            </a:ln>
          </c:spPr>
          <c:cat>
            <c:strRef>
              <c:f>'Traditional FIRE'!$B$20:$B$67</c:f>
            </c:strRef>
          </c:cat>
          <c:val>
            <c:numRef>
              <c:f>'Traditional FIRE'!$N$20:$N$67</c:f>
              <c:numCache/>
            </c:numRef>
          </c:val>
        </c:ser>
        <c:axId val="325183368"/>
        <c:axId val="93985645"/>
      </c:barChart>
      <c:lineChart>
        <c:ser>
          <c:idx val="1"/>
          <c:order val="1"/>
          <c:tx>
            <c:strRef>
              <c:f>'Traditional FIRE'!$O$19</c:f>
            </c:strRef>
          </c:tx>
          <c:spPr>
            <a:ln cmpd="sng">
              <a:solidFill>
                <a:srgbClr val="12253A"/>
              </a:solidFill>
            </a:ln>
          </c:spPr>
          <c:marker>
            <c:symbol val="none"/>
          </c:marker>
          <c:cat>
            <c:strRef>
              <c:f>'Traditional FIRE'!$B$20:$B$67</c:f>
            </c:strRef>
          </c:cat>
          <c:val>
            <c:numRef>
              <c:f>'Traditional FIRE'!$O$20:$O$67</c:f>
              <c:numCache/>
            </c:numRef>
          </c:val>
          <c:smooth val="0"/>
        </c:ser>
        <c:ser>
          <c:idx val="2"/>
          <c:order val="2"/>
          <c:tx>
            <c:strRef>
              <c:f>'Traditional FIRE'!$M$19</c:f>
            </c:strRef>
          </c:tx>
          <c:spPr>
            <a:ln cmpd="sng">
              <a:solidFill>
                <a:srgbClr val="A6C7DB"/>
              </a:solidFill>
            </a:ln>
          </c:spPr>
          <c:marker>
            <c:symbol val="none"/>
          </c:marker>
          <c:cat>
            <c:strRef>
              <c:f>'Traditional FIRE'!$B$20:$B$67</c:f>
            </c:strRef>
          </c:cat>
          <c:val>
            <c:numRef>
              <c:f>'Traditional FIRE'!$M$20:$M$67</c:f>
              <c:numCache/>
            </c:numRef>
          </c:val>
          <c:smooth val="0"/>
        </c:ser>
        <c:axId val="325183368"/>
        <c:axId val="93985645"/>
      </c:lineChart>
      <c:catAx>
        <c:axId val="325183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3985645"/>
      </c:catAx>
      <c:valAx>
        <c:axId val="939856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25183368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Contributions vs. Returns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'Traditional FIRE Data Pulls'!$B$23</c:f>
            </c:strRef>
          </c:tx>
          <c:spPr>
            <a:solidFill>
              <a:srgbClr val="12253A">
                <a:alpha val="30000"/>
              </a:srgbClr>
            </a:solidFill>
            <a:ln cmpd="sng">
              <a:solidFill>
                <a:srgbClr val="12253A"/>
              </a:solidFill>
            </a:ln>
          </c:spPr>
          <c:val>
            <c:numRef>
              <c:f>'Traditional FIRE Data Pulls'!$B$24:$B$69</c:f>
              <c:numCache/>
            </c:numRef>
          </c:val>
        </c:ser>
        <c:ser>
          <c:idx val="1"/>
          <c:order val="1"/>
          <c:tx>
            <c:strRef>
              <c:f>'Traditional FIRE Data Pulls'!$D$23</c:f>
            </c:strRef>
          </c:tx>
          <c:spPr>
            <a:solidFill>
              <a:srgbClr val="A6C7DB">
                <a:alpha val="30000"/>
              </a:srgbClr>
            </a:solidFill>
            <a:ln cmpd="sng">
              <a:solidFill>
                <a:srgbClr val="A6C7DB"/>
              </a:solidFill>
            </a:ln>
          </c:spPr>
          <c:val>
            <c:numRef>
              <c:f>'Traditional FIRE Data Pulls'!$D$24:$D$69</c:f>
              <c:numCache/>
            </c:numRef>
          </c:val>
        </c:ser>
        <c:axId val="821088783"/>
        <c:axId val="586970646"/>
      </c:areaChart>
      <c:catAx>
        <c:axId val="821088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86970646"/>
      </c:catAx>
      <c:valAx>
        <c:axId val="5869706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21088783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'Barista FIRE '!$O$19</c:f>
            </c:strRef>
          </c:tx>
          <c:spPr>
            <a:solidFill>
              <a:srgbClr val="004C79">
                <a:alpha val="30000"/>
              </a:srgbClr>
            </a:solidFill>
            <a:ln cmpd="sng">
              <a:solidFill>
                <a:srgbClr val="004C79"/>
              </a:solidFill>
            </a:ln>
          </c:spPr>
          <c:cat>
            <c:strRef>
              <c:f>'Barista FIRE '!$A$20:$A$67</c:f>
            </c:strRef>
          </c:cat>
          <c:val>
            <c:numRef>
              <c:f>'Barista FIRE '!$O$20:$O$67</c:f>
              <c:numCache/>
            </c:numRef>
          </c:val>
        </c:ser>
        <c:ser>
          <c:idx val="1"/>
          <c:order val="1"/>
          <c:tx>
            <c:strRef>
              <c:f>'Barista FIRE '!$P$19</c:f>
            </c:strRef>
          </c:tx>
          <c:spPr>
            <a:solidFill>
              <a:srgbClr val="A6C7DB">
                <a:alpha val="30000"/>
              </a:srgbClr>
            </a:solidFill>
            <a:ln cmpd="sng">
              <a:solidFill>
                <a:srgbClr val="A6C7DB"/>
              </a:solidFill>
            </a:ln>
          </c:spPr>
          <c:cat>
            <c:strRef>
              <c:f>'Barista FIRE '!$A$20:$A$67</c:f>
            </c:strRef>
          </c:cat>
          <c:val>
            <c:numRef>
              <c:f>'Barista FIRE '!$P$20:$P$67</c:f>
              <c:numCache/>
            </c:numRef>
          </c:val>
        </c:ser>
        <c:axId val="2032646553"/>
        <c:axId val="1391096504"/>
      </c:areaChart>
      <c:catAx>
        <c:axId val="2032646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91096504"/>
      </c:catAx>
      <c:valAx>
        <c:axId val="13910965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32646553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390525</xdr:colOff>
      <xdr:row>3</xdr:row>
      <xdr:rowOff>76200</xdr:rowOff>
    </xdr:from>
    <xdr:ext cx="5895975" cy="4143375"/>
    <xdr:graphicFrame>
      <xdr:nvGraphicFramePr>
        <xdr:cNvPr id="120360054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447675</xdr:colOff>
      <xdr:row>3</xdr:row>
      <xdr:rowOff>76200</xdr:rowOff>
    </xdr:from>
    <xdr:ext cx="4772025" cy="4143375"/>
    <xdr:graphicFrame>
      <xdr:nvGraphicFramePr>
        <xdr:cNvPr id="1323310391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600075</xdr:colOff>
      <xdr:row>2</xdr:row>
      <xdr:rowOff>152400</xdr:rowOff>
    </xdr:from>
    <xdr:ext cx="9734550" cy="4391025"/>
    <xdr:graphicFrame>
      <xdr:nvGraphicFramePr>
        <xdr:cNvPr id="82206836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5.88"/>
    <col customWidth="1" min="2" max="2" width="16.0"/>
    <col customWidth="1" hidden="1" min="3" max="3" width="12.5"/>
    <col customWidth="1" min="4" max="4" width="14.13"/>
    <col customWidth="1" min="5" max="5" width="14.75"/>
    <col customWidth="1" min="6" max="6" width="11.88"/>
    <col customWidth="1" min="7" max="10" width="12.75"/>
    <col customWidth="1" min="11" max="11" width="13.25"/>
    <col customWidth="1" min="12" max="12" width="14.0"/>
    <col customWidth="1" min="13" max="13" width="15.13"/>
    <col customWidth="1" min="14" max="16" width="15.75"/>
    <col customWidth="1" min="17" max="17" width="14.63"/>
    <col customWidth="1" min="18" max="18" width="21.88"/>
    <col customWidth="1" min="19" max="19" width="9.13"/>
    <col customWidth="1" min="20" max="20" width="19.38"/>
    <col customWidth="1" min="21" max="23" width="9.13"/>
  </cols>
  <sheetData>
    <row r="1" ht="11.25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3"/>
      <c r="R1" s="3"/>
      <c r="S1" s="3"/>
      <c r="T1" s="3"/>
      <c r="U1" s="3"/>
      <c r="V1" s="3"/>
      <c r="W1" s="3"/>
    </row>
    <row r="2" ht="28.5" customHeight="1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3"/>
      <c r="T2" s="3"/>
      <c r="U2" s="3"/>
      <c r="V2" s="3"/>
      <c r="W2" s="3"/>
    </row>
    <row r="3" ht="12.75" customHeight="1">
      <c r="A3" s="1"/>
      <c r="B3" s="1"/>
      <c r="C3" s="8"/>
      <c r="D3" s="8"/>
      <c r="E3" s="8"/>
      <c r="F3" s="3"/>
      <c r="G3" s="3"/>
      <c r="H3" s="3"/>
      <c r="I3" s="3"/>
      <c r="J3" s="3"/>
      <c r="K3" s="3"/>
      <c r="L3" s="3"/>
      <c r="M3" s="3"/>
      <c r="N3" s="3"/>
      <c r="O3" s="4"/>
      <c r="P3" s="4"/>
      <c r="Q3" s="3"/>
      <c r="R3" s="3"/>
      <c r="S3" s="9"/>
      <c r="T3" s="3"/>
      <c r="U3" s="9"/>
      <c r="V3" s="3"/>
      <c r="W3" s="3"/>
    </row>
    <row r="4" ht="27.0" customHeight="1">
      <c r="A4" s="1"/>
      <c r="B4" s="10" t="s">
        <v>1</v>
      </c>
      <c r="C4" s="11"/>
      <c r="D4" s="12"/>
      <c r="E4" s="1"/>
      <c r="F4" s="13" t="s">
        <v>2</v>
      </c>
      <c r="G4" s="14"/>
      <c r="H4" s="15"/>
      <c r="I4" s="1"/>
      <c r="J4" s="1"/>
      <c r="K4" s="1"/>
      <c r="L4" s="1"/>
      <c r="M4" s="1"/>
      <c r="N4" s="1"/>
      <c r="O4" s="1"/>
      <c r="P4" s="1"/>
      <c r="Q4" s="1"/>
      <c r="R4" s="3"/>
      <c r="S4" s="16"/>
      <c r="T4" s="3"/>
      <c r="U4" s="3"/>
      <c r="V4" s="3"/>
      <c r="W4" s="3"/>
    </row>
    <row r="5" ht="22.5" customHeight="1">
      <c r="A5" s="1"/>
      <c r="B5" s="17" t="s">
        <v>3</v>
      </c>
      <c r="C5" s="18"/>
      <c r="D5" s="19">
        <v>2026.0</v>
      </c>
      <c r="E5" s="1"/>
      <c r="F5" s="17" t="s">
        <v>4</v>
      </c>
      <c r="G5" s="18"/>
      <c r="H5" s="20">
        <f>(1+I5)/(1+I6)-1</f>
        <v>0</v>
      </c>
      <c r="I5" s="21">
        <v>0.03</v>
      </c>
      <c r="J5" s="1"/>
      <c r="K5" s="1"/>
      <c r="L5" s="1"/>
      <c r="M5" s="1"/>
      <c r="N5" s="1"/>
      <c r="O5" s="1"/>
      <c r="P5" s="1"/>
      <c r="Q5" s="1"/>
      <c r="R5" s="3"/>
      <c r="S5" s="16"/>
      <c r="T5" s="3"/>
      <c r="U5" s="1"/>
      <c r="V5" s="3"/>
      <c r="W5" s="3"/>
    </row>
    <row r="6" ht="16.5" customHeight="1">
      <c r="A6" s="1"/>
      <c r="B6" s="17" t="s">
        <v>5</v>
      </c>
      <c r="C6" s="18"/>
      <c r="D6" s="19">
        <v>33.0</v>
      </c>
      <c r="E6" s="1"/>
      <c r="F6" s="17" t="s">
        <v>6</v>
      </c>
      <c r="G6" s="18"/>
      <c r="H6" s="22">
        <v>0.0</v>
      </c>
      <c r="I6" s="21">
        <v>0.03</v>
      </c>
      <c r="J6" s="1"/>
      <c r="K6" s="1"/>
      <c r="L6" s="1"/>
      <c r="M6" s="1"/>
      <c r="N6" s="1"/>
      <c r="O6" s="1"/>
      <c r="P6" s="1"/>
      <c r="Q6" s="1"/>
      <c r="R6" s="3"/>
      <c r="S6" s="16"/>
      <c r="T6" s="3"/>
      <c r="U6" s="1"/>
      <c r="V6" s="3"/>
      <c r="W6" s="3"/>
    </row>
    <row r="7" ht="24.75" customHeight="1">
      <c r="A7" s="1"/>
      <c r="B7" s="17" t="s">
        <v>7</v>
      </c>
      <c r="C7" s="18"/>
      <c r="D7" s="23">
        <v>6353.0</v>
      </c>
      <c r="E7" s="1"/>
      <c r="F7" s="17" t="s">
        <v>8</v>
      </c>
      <c r="G7" s="18"/>
      <c r="H7" s="24">
        <v>0.327</v>
      </c>
      <c r="J7" s="1"/>
      <c r="K7" s="1"/>
      <c r="L7" s="1"/>
      <c r="M7" s="1"/>
      <c r="N7" s="1"/>
      <c r="O7" s="1"/>
      <c r="P7" s="1"/>
      <c r="Q7" s="1"/>
      <c r="R7" s="3"/>
      <c r="S7" s="16"/>
      <c r="T7" s="3"/>
      <c r="U7" s="1"/>
      <c r="V7" s="3"/>
      <c r="W7" s="3"/>
    </row>
    <row r="8" ht="30.75" customHeight="1">
      <c r="A8" s="1"/>
      <c r="B8" s="17" t="s">
        <v>9</v>
      </c>
      <c r="C8" s="18"/>
      <c r="D8" s="25">
        <v>294000.0</v>
      </c>
      <c r="E8" s="1"/>
      <c r="F8" s="17" t="s">
        <v>10</v>
      </c>
      <c r="G8" s="18"/>
      <c r="H8" s="20">
        <f>(1+I8)/(1+I6)-1</f>
        <v>0.03883495146</v>
      </c>
      <c r="I8" s="21">
        <v>0.07</v>
      </c>
      <c r="J8" s="1"/>
      <c r="K8" s="1"/>
      <c r="L8" s="1"/>
      <c r="M8" s="1"/>
      <c r="N8" s="1"/>
      <c r="O8" s="1"/>
      <c r="P8" s="1"/>
      <c r="Q8" s="1"/>
      <c r="R8" s="3"/>
      <c r="S8" s="16"/>
      <c r="T8" s="3"/>
      <c r="U8" s="1"/>
      <c r="V8" s="3"/>
      <c r="W8" s="3"/>
    </row>
    <row r="9" ht="33.0" customHeight="1">
      <c r="A9" s="1"/>
      <c r="B9" s="17" t="s">
        <v>11</v>
      </c>
      <c r="C9" s="18"/>
      <c r="D9" s="23">
        <v>159291.0</v>
      </c>
      <c r="E9" s="1"/>
      <c r="F9" s="17" t="s">
        <v>12</v>
      </c>
      <c r="G9" s="18"/>
      <c r="H9" s="22">
        <v>0.03</v>
      </c>
      <c r="I9" s="1"/>
      <c r="J9" s="1"/>
      <c r="K9" s="1"/>
      <c r="L9" s="1"/>
      <c r="M9" s="1"/>
      <c r="N9" s="1"/>
      <c r="O9" s="1"/>
      <c r="P9" s="1"/>
      <c r="Q9" s="1"/>
      <c r="R9" s="3"/>
      <c r="S9" s="9"/>
      <c r="T9" s="3"/>
      <c r="U9" s="1"/>
      <c r="V9" s="3"/>
      <c r="W9" s="3"/>
    </row>
    <row r="10" ht="30.0" customHeight="1">
      <c r="A10" s="1"/>
      <c r="B10" s="26" t="s">
        <v>13</v>
      </c>
      <c r="C10" s="27"/>
      <c r="D10" s="28">
        <v>50.0</v>
      </c>
      <c r="E10" s="1"/>
      <c r="F10" s="26" t="s">
        <v>14</v>
      </c>
      <c r="G10" s="27"/>
      <c r="H10" s="29">
        <v>8000.0</v>
      </c>
      <c r="I10" s="1"/>
      <c r="J10" s="1"/>
      <c r="K10" s="1"/>
      <c r="L10" s="1"/>
      <c r="M10" s="1"/>
      <c r="N10" s="1"/>
      <c r="O10" s="1"/>
      <c r="P10" s="1"/>
      <c r="Q10" s="1"/>
      <c r="R10" s="3"/>
      <c r="S10" s="16"/>
      <c r="T10" s="3"/>
      <c r="U10" s="1"/>
      <c r="V10" s="3"/>
      <c r="W10" s="3"/>
    </row>
    <row r="11" ht="28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3"/>
      <c r="S11" s="1"/>
      <c r="T11" s="3"/>
      <c r="U11" s="1"/>
      <c r="V11" s="3"/>
      <c r="W11" s="3"/>
    </row>
    <row r="12" ht="22.5" customHeight="1">
      <c r="A12" s="1"/>
      <c r="B12" s="30" t="s">
        <v>15</v>
      </c>
      <c r="C12" s="11"/>
      <c r="D12" s="11"/>
      <c r="E12" s="11"/>
      <c r="F12" s="11"/>
      <c r="G12" s="11"/>
      <c r="H12" s="12"/>
      <c r="I12" s="1"/>
      <c r="J12" s="1"/>
      <c r="K12" s="1"/>
      <c r="L12" s="1"/>
      <c r="M12" s="1"/>
      <c r="N12" s="1"/>
      <c r="O12" s="1"/>
      <c r="P12" s="1"/>
      <c r="Q12" s="1"/>
      <c r="R12" s="3"/>
      <c r="S12" s="3"/>
      <c r="T12" s="3"/>
      <c r="U12" s="3"/>
      <c r="V12" s="3"/>
      <c r="W12" s="3"/>
    </row>
    <row r="13" ht="21.0" customHeight="1">
      <c r="A13" s="1"/>
      <c r="B13" s="31" t="s">
        <v>16</v>
      </c>
      <c r="C13" s="11"/>
      <c r="D13" s="12"/>
      <c r="E13" s="1"/>
      <c r="F13" s="31" t="s">
        <v>17</v>
      </c>
      <c r="G13" s="11"/>
      <c r="H13" s="12"/>
      <c r="I13" s="1"/>
      <c r="J13" s="1"/>
      <c r="K13" s="1"/>
      <c r="L13" s="1"/>
      <c r="M13" s="1"/>
      <c r="N13" s="1"/>
      <c r="O13" s="1"/>
      <c r="P13" s="1"/>
      <c r="Q13" s="1"/>
      <c r="R13" s="3"/>
      <c r="S13" s="3"/>
      <c r="T13" s="3"/>
      <c r="U13" s="3"/>
      <c r="V13" s="3"/>
      <c r="W13" s="3"/>
    </row>
    <row r="14" ht="24.0" customHeight="1">
      <c r="A14" s="1"/>
      <c r="B14" s="32" t="s">
        <v>18</v>
      </c>
      <c r="C14" s="33"/>
      <c r="D14" s="34">
        <f>(H10*12)/H9</f>
        <v>3200000</v>
      </c>
      <c r="E14" s="1"/>
      <c r="F14" s="32" t="s">
        <v>19</v>
      </c>
      <c r="G14" s="33"/>
      <c r="H14" s="35">
        <f>D14/((1+(H8-H6))^(D10-D6))</f>
        <v>1674397.541</v>
      </c>
      <c r="I14" s="1"/>
      <c r="J14" s="1"/>
      <c r="K14" s="1"/>
      <c r="L14" s="1"/>
      <c r="M14" s="1"/>
      <c r="N14" s="1"/>
      <c r="O14" s="1"/>
      <c r="P14" s="1"/>
      <c r="Q14" s="1"/>
      <c r="R14" s="3"/>
      <c r="S14" s="3"/>
      <c r="T14" s="3"/>
      <c r="U14" s="3"/>
      <c r="V14" s="3"/>
      <c r="W14" s="3"/>
    </row>
    <row r="15" ht="20.25" customHeight="1">
      <c r="A15" s="1"/>
      <c r="B15" s="32" t="s">
        <v>20</v>
      </c>
      <c r="C15" s="33"/>
      <c r="D15" s="36">
        <f t="array" ref="D15">IFERROR(INDEX('Traditional FIRE'!$B$19:$B$67,MATCH(TRUE,'Traditional FIRE'!$R$19:$R$67="FI/RE",0)),"Not Reached")</f>
        <v>2061</v>
      </c>
      <c r="E15" s="37"/>
      <c r="F15" s="32" t="s">
        <v>21</v>
      </c>
      <c r="G15" s="33"/>
      <c r="H15" s="38">
        <f t="array" ref="H15">IFERROR(INDEX('Traditional FIRE'!$B$20:$B$67, MATCH(TRUE, 'Traditional FIRE'!$N$20:$N$67&gt;=H14, 0)), "Not Reached")</f>
        <v>2049</v>
      </c>
      <c r="I15" s="1"/>
      <c r="J15" s="1"/>
      <c r="K15" s="1"/>
      <c r="L15" s="1"/>
      <c r="M15" s="1"/>
      <c r="N15" s="1"/>
      <c r="O15" s="4"/>
      <c r="P15" s="4"/>
      <c r="Q15" s="3"/>
      <c r="R15" s="3"/>
      <c r="S15" s="3"/>
      <c r="T15" s="3"/>
      <c r="U15" s="3"/>
      <c r="V15" s="3"/>
      <c r="W15" s="3"/>
    </row>
    <row r="16" ht="24.0" customHeight="1">
      <c r="A16" s="1"/>
      <c r="B16" s="39" t="s">
        <v>22</v>
      </c>
      <c r="C16" s="40"/>
      <c r="D16" s="41">
        <f>IFERROR(D15-'Traditional FIRE'!D5, "N/A")</f>
        <v>35</v>
      </c>
      <c r="E16" s="1"/>
      <c r="F16" s="39" t="s">
        <v>23</v>
      </c>
      <c r="G16" s="40"/>
      <c r="H16" s="42">
        <f>IFERROR(H15-D5, "N/A")</f>
        <v>23</v>
      </c>
      <c r="I16" s="1"/>
      <c r="J16" s="1"/>
      <c r="K16" s="1"/>
      <c r="L16" s="1"/>
      <c r="M16" s="1"/>
      <c r="N16" s="1"/>
      <c r="O16" s="4"/>
      <c r="P16" s="4"/>
      <c r="Q16" s="3"/>
      <c r="R16" s="3"/>
      <c r="S16" s="3"/>
      <c r="T16" s="3"/>
      <c r="U16" s="3"/>
      <c r="V16" s="3"/>
      <c r="W16" s="3"/>
    </row>
    <row r="17" ht="26.25" customHeight="1">
      <c r="A17" s="1"/>
      <c r="B17" s="1"/>
      <c r="C17" s="1"/>
      <c r="D17" s="43"/>
      <c r="E17" s="3"/>
      <c r="F17" s="3"/>
      <c r="G17" s="3"/>
      <c r="H17" s="3"/>
      <c r="I17" s="3"/>
      <c r="J17" s="3"/>
      <c r="K17" s="3"/>
      <c r="L17" s="3"/>
      <c r="M17" s="3"/>
      <c r="N17" s="3"/>
      <c r="O17" s="4"/>
      <c r="P17" s="4"/>
      <c r="Q17" s="3"/>
      <c r="R17" s="3"/>
      <c r="S17" s="3"/>
      <c r="T17" s="3"/>
      <c r="U17" s="3"/>
      <c r="V17" s="3"/>
      <c r="W17" s="3"/>
    </row>
    <row r="18" ht="17.25" customHeight="1">
      <c r="A18" s="1"/>
      <c r="B18" s="2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4"/>
      <c r="P18" s="4"/>
      <c r="Q18" s="3"/>
      <c r="R18" s="3"/>
      <c r="S18" s="3"/>
      <c r="T18" s="3"/>
      <c r="U18" s="3"/>
      <c r="V18" s="3"/>
      <c r="W18" s="3"/>
    </row>
    <row r="19" ht="62.25" customHeight="1">
      <c r="A19" s="44" t="s">
        <v>5</v>
      </c>
      <c r="B19" s="44" t="s">
        <v>24</v>
      </c>
      <c r="C19" s="44" t="s">
        <v>3</v>
      </c>
      <c r="D19" s="44" t="s">
        <v>25</v>
      </c>
      <c r="E19" s="45" t="s">
        <v>26</v>
      </c>
      <c r="F19" s="44" t="s">
        <v>7</v>
      </c>
      <c r="G19" s="46" t="s">
        <v>27</v>
      </c>
      <c r="H19" s="47" t="s">
        <v>28</v>
      </c>
      <c r="I19" s="48" t="s">
        <v>29</v>
      </c>
      <c r="J19" s="46" t="s">
        <v>30</v>
      </c>
      <c r="K19" s="49" t="s">
        <v>31</v>
      </c>
      <c r="L19" s="50" t="s">
        <v>32</v>
      </c>
      <c r="M19" s="44" t="s">
        <v>33</v>
      </c>
      <c r="N19" s="44" t="s">
        <v>34</v>
      </c>
      <c r="O19" s="50" t="s">
        <v>35</v>
      </c>
      <c r="P19" s="44" t="s">
        <v>36</v>
      </c>
      <c r="Q19" s="51" t="s">
        <v>37</v>
      </c>
      <c r="R19" s="52" t="s">
        <v>38</v>
      </c>
      <c r="S19" s="3"/>
      <c r="T19" s="3"/>
      <c r="U19" s="3"/>
      <c r="V19" s="3"/>
      <c r="W19" s="3"/>
    </row>
    <row r="20" ht="15.75" hidden="1" customHeight="1">
      <c r="A20" s="53">
        <f>D6-1</f>
        <v>32</v>
      </c>
      <c r="B20" s="54">
        <f>D5-1</f>
        <v>2025</v>
      </c>
      <c r="C20" s="54">
        <v>0.0</v>
      </c>
      <c r="D20" s="55"/>
      <c r="E20" s="56"/>
      <c r="F20" s="54"/>
      <c r="G20" s="57"/>
      <c r="H20" s="58"/>
      <c r="I20" s="59"/>
      <c r="J20" s="57"/>
      <c r="K20" s="60"/>
      <c r="L20" s="58"/>
      <c r="M20" s="55"/>
      <c r="N20" s="54"/>
      <c r="O20" s="61"/>
      <c r="P20" s="54"/>
      <c r="Q20" s="62"/>
      <c r="R20" s="63"/>
      <c r="S20" s="1"/>
      <c r="T20" s="1"/>
      <c r="U20" s="1"/>
      <c r="V20" s="1"/>
      <c r="W20" s="1"/>
    </row>
    <row r="21" ht="15.75" customHeight="1">
      <c r="A21" s="64">
        <f>D6</f>
        <v>33</v>
      </c>
      <c r="B21" s="65">
        <f>'Traditional FIRE'!D5</f>
        <v>2026</v>
      </c>
      <c r="C21" s="65">
        <v>1.0</v>
      </c>
      <c r="D21" s="66">
        <f>'Traditional FIRE'!D8</f>
        <v>294000</v>
      </c>
      <c r="E21" s="67">
        <f>D21*(1-'Traditional FIRE'!$H$7)/12</f>
        <v>16488.5</v>
      </c>
      <c r="F21" s="66">
        <f>D7</f>
        <v>6353</v>
      </c>
      <c r="G21" s="68"/>
      <c r="H21" s="66">
        <f>E21-(F21+G21)</f>
        <v>10135.5</v>
      </c>
      <c r="I21" s="69">
        <v>-7326.46</v>
      </c>
      <c r="J21" s="68">
        <v>0.0</v>
      </c>
      <c r="K21" s="66">
        <f t="shared" ref="K21:K67" si="2">(F21+G21)*12</f>
        <v>76236</v>
      </c>
      <c r="L21" s="70">
        <f t="shared" ref="L21:L67" si="3">((H21+I21)*12)+J21</f>
        <v>33708.48</v>
      </c>
      <c r="M21" s="66">
        <f>L21+'Traditional FIRE'!D9 </f>
        <v>192999.48</v>
      </c>
      <c r="N21" s="66">
        <f>(M21)</f>
        <v>192999.48</v>
      </c>
      <c r="O21" s="70">
        <f t="shared" ref="O21:O67" si="4">N21-M21</f>
        <v>0</v>
      </c>
      <c r="P21" s="66">
        <f>N21*'Traditional FIRE'!H9</f>
        <v>5789.9844</v>
      </c>
      <c r="Q21" s="71">
        <f t="shared" ref="Q21:Q67" si="5">IFERROR(K21/P21, "N/A")</f>
        <v>13.16687485</v>
      </c>
      <c r="R21" s="72" t="str">
        <f t="shared" ref="R21:R67" si="6">IF(N21&gt;=$D$14, "FI/RE", IF(N21&gt;=$H$14, "Coast FI/RE Achieved", ""))</f>
        <v/>
      </c>
      <c r="S21" s="1"/>
      <c r="T21" s="73">
        <f>H21+I21 </f>
        <v>2809.04</v>
      </c>
      <c r="U21" s="1"/>
      <c r="V21" s="1"/>
      <c r="W21" s="1"/>
    </row>
    <row r="22" ht="15.75" customHeight="1">
      <c r="A22" s="74">
        <f t="shared" ref="A22:C22" si="1">A21+1</f>
        <v>34</v>
      </c>
      <c r="B22" s="54">
        <f t="shared" si="1"/>
        <v>2027</v>
      </c>
      <c r="C22" s="54">
        <f t="shared" si="1"/>
        <v>2</v>
      </c>
      <c r="D22" s="75">
        <f>D21*(1+'Traditional FIRE'!$H$5)</f>
        <v>294000</v>
      </c>
      <c r="E22" s="76">
        <f>D22*(1-'Traditional FIRE'!$H$7)/12</f>
        <v>16488.5</v>
      </c>
      <c r="F22" s="75">
        <f t="shared" ref="F22:F67" si="8">$D$7*(1+$H$6)^(C22-1)</f>
        <v>6353</v>
      </c>
      <c r="G22" s="68"/>
      <c r="H22" s="75">
        <f t="shared" ref="H22:H67" si="9">E22-F22</f>
        <v>10135.5</v>
      </c>
      <c r="I22" s="69">
        <v>-7326.46</v>
      </c>
      <c r="J22" s="68"/>
      <c r="K22" s="75">
        <f t="shared" si="2"/>
        <v>76236</v>
      </c>
      <c r="L22" s="70">
        <f t="shared" si="3"/>
        <v>33708.48</v>
      </c>
      <c r="M22" s="75">
        <f t="shared" ref="M22:M67" si="10">N21+L22 </f>
        <v>226707.96</v>
      </c>
      <c r="N22" s="75">
        <f>(M22)*(1+'Traditional FIRE'!$H$8)</f>
        <v>235512.1526</v>
      </c>
      <c r="O22" s="77">
        <f t="shared" si="4"/>
        <v>8804.192621</v>
      </c>
      <c r="P22" s="75">
        <f>N22*'Traditional FIRE'!$H$9</f>
        <v>7065.364579</v>
      </c>
      <c r="Q22" s="71">
        <f t="shared" si="5"/>
        <v>10.79010137</v>
      </c>
      <c r="R22" s="63" t="str">
        <f t="shared" si="6"/>
        <v/>
      </c>
      <c r="S22" s="1"/>
      <c r="T22" s="1"/>
      <c r="U22" s="1"/>
      <c r="V22" s="1"/>
      <c r="W22" s="1"/>
    </row>
    <row r="23" ht="15.75" customHeight="1">
      <c r="A23" s="74">
        <f t="shared" ref="A23:C23" si="7">A22+1</f>
        <v>35</v>
      </c>
      <c r="B23" s="65">
        <f t="shared" si="7"/>
        <v>2028</v>
      </c>
      <c r="C23" s="65">
        <f t="shared" si="7"/>
        <v>3</v>
      </c>
      <c r="D23" s="66">
        <f>D22*(1+'Traditional FIRE'!$H$5)</f>
        <v>294000</v>
      </c>
      <c r="E23" s="67">
        <f>D23*(1-'Traditional FIRE'!$H$7)/12</f>
        <v>16488.5</v>
      </c>
      <c r="F23" s="66">
        <f t="shared" si="8"/>
        <v>6353</v>
      </c>
      <c r="G23" s="68"/>
      <c r="H23" s="66">
        <f t="shared" si="9"/>
        <v>10135.5</v>
      </c>
      <c r="I23" s="69">
        <v>-7326.46</v>
      </c>
      <c r="J23" s="68"/>
      <c r="K23" s="66">
        <f t="shared" si="2"/>
        <v>76236</v>
      </c>
      <c r="L23" s="70">
        <f t="shared" si="3"/>
        <v>33708.48</v>
      </c>
      <c r="M23" s="66">
        <f t="shared" si="10"/>
        <v>269220.6326</v>
      </c>
      <c r="N23" s="66">
        <f>(M23)*(1+'Traditional FIRE'!$H$8)</f>
        <v>279675.8028</v>
      </c>
      <c r="O23" s="70">
        <f t="shared" si="4"/>
        <v>10455.1702</v>
      </c>
      <c r="P23" s="66">
        <f>N23*'Traditional FIRE'!$H$9</f>
        <v>8390.274085</v>
      </c>
      <c r="Q23" s="71">
        <f t="shared" si="5"/>
        <v>9.086234756</v>
      </c>
      <c r="R23" s="72" t="str">
        <f t="shared" si="6"/>
        <v/>
      </c>
      <c r="S23" s="1"/>
      <c r="T23" s="1"/>
      <c r="U23" s="1"/>
      <c r="V23" s="1"/>
      <c r="W23" s="1"/>
    </row>
    <row r="24" ht="15.75" customHeight="1">
      <c r="A24" s="74">
        <f t="shared" ref="A24:C24" si="11">A23+1</f>
        <v>36</v>
      </c>
      <c r="B24" s="54">
        <f t="shared" si="11"/>
        <v>2029</v>
      </c>
      <c r="C24" s="54">
        <f t="shared" si="11"/>
        <v>4</v>
      </c>
      <c r="D24" s="75">
        <f>D23*(1+'Traditional FIRE'!$H$5)</f>
        <v>294000</v>
      </c>
      <c r="E24" s="76">
        <f>D24*(1-'Traditional FIRE'!$H$7)/12</f>
        <v>16488.5</v>
      </c>
      <c r="F24" s="75">
        <f t="shared" si="8"/>
        <v>6353</v>
      </c>
      <c r="G24" s="68"/>
      <c r="H24" s="75">
        <f t="shared" si="9"/>
        <v>10135.5</v>
      </c>
      <c r="I24" s="69">
        <v>-7326.46</v>
      </c>
      <c r="J24" s="68"/>
      <c r="K24" s="75">
        <f t="shared" si="2"/>
        <v>76236</v>
      </c>
      <c r="L24" s="70">
        <f t="shared" si="3"/>
        <v>33708.48</v>
      </c>
      <c r="M24" s="75">
        <f t="shared" si="10"/>
        <v>313384.2828</v>
      </c>
      <c r="N24" s="75">
        <f>(M24)*(1+'Traditional FIRE'!$H$8)</f>
        <v>325554.5462</v>
      </c>
      <c r="O24" s="77">
        <f t="shared" si="4"/>
        <v>12170.26341</v>
      </c>
      <c r="P24" s="75">
        <f>N24*'Traditional FIRE'!$H$9</f>
        <v>9766.636387</v>
      </c>
      <c r="Q24" s="71">
        <f t="shared" si="5"/>
        <v>7.805757989</v>
      </c>
      <c r="R24" s="63" t="str">
        <f t="shared" si="6"/>
        <v/>
      </c>
      <c r="S24" s="1"/>
      <c r="T24" s="1"/>
      <c r="U24" s="1"/>
      <c r="V24" s="1"/>
      <c r="W24" s="1"/>
    </row>
    <row r="25" ht="15.75" customHeight="1">
      <c r="A25" s="74">
        <f t="shared" ref="A25:C25" si="12">A24+1</f>
        <v>37</v>
      </c>
      <c r="B25" s="65">
        <f t="shared" si="12"/>
        <v>2030</v>
      </c>
      <c r="C25" s="65">
        <f t="shared" si="12"/>
        <v>5</v>
      </c>
      <c r="D25" s="66">
        <f>D24*(1+'Traditional FIRE'!$H$5)</f>
        <v>294000</v>
      </c>
      <c r="E25" s="67">
        <f>D25*(1-'Traditional FIRE'!$H$7)/12</f>
        <v>16488.5</v>
      </c>
      <c r="F25" s="66">
        <f t="shared" si="8"/>
        <v>6353</v>
      </c>
      <c r="G25" s="68"/>
      <c r="H25" s="66">
        <f t="shared" si="9"/>
        <v>10135.5</v>
      </c>
      <c r="I25" s="69">
        <v>-7326.46</v>
      </c>
      <c r="J25" s="68"/>
      <c r="K25" s="66">
        <f t="shared" si="2"/>
        <v>76236</v>
      </c>
      <c r="L25" s="70">
        <f t="shared" si="3"/>
        <v>33708.48</v>
      </c>
      <c r="M25" s="66">
        <f t="shared" si="10"/>
        <v>359263.0262</v>
      </c>
      <c r="N25" s="66">
        <f>(M25)*(1+'Traditional FIRE'!$H$8)</f>
        <v>373214.9884</v>
      </c>
      <c r="O25" s="70">
        <f t="shared" si="4"/>
        <v>13951.96218</v>
      </c>
      <c r="P25" s="66">
        <f>N25*'Traditional FIRE'!$H$9</f>
        <v>11196.44965</v>
      </c>
      <c r="Q25" s="71">
        <f t="shared" si="5"/>
        <v>6.808944118</v>
      </c>
      <c r="R25" s="72" t="str">
        <f t="shared" si="6"/>
        <v/>
      </c>
      <c r="S25" s="1"/>
      <c r="T25" s="1"/>
      <c r="U25" s="1"/>
      <c r="V25" s="1"/>
      <c r="W25" s="1"/>
    </row>
    <row r="26" ht="15.75" customHeight="1">
      <c r="A26" s="74">
        <f t="shared" ref="A26:C26" si="13">A25+1</f>
        <v>38</v>
      </c>
      <c r="B26" s="54">
        <f t="shared" si="13"/>
        <v>2031</v>
      </c>
      <c r="C26" s="54">
        <f t="shared" si="13"/>
        <v>6</v>
      </c>
      <c r="D26" s="75">
        <f>D25*(1+'Traditional FIRE'!$H$5)</f>
        <v>294000</v>
      </c>
      <c r="E26" s="76">
        <f>D26*(1-'Traditional FIRE'!$H$7)/12</f>
        <v>16488.5</v>
      </c>
      <c r="F26" s="75">
        <f t="shared" si="8"/>
        <v>6353</v>
      </c>
      <c r="G26" s="68"/>
      <c r="H26" s="75">
        <f t="shared" si="9"/>
        <v>10135.5</v>
      </c>
      <c r="I26" s="69">
        <v>-7326.46</v>
      </c>
      <c r="J26" s="68"/>
      <c r="K26" s="75">
        <f t="shared" si="2"/>
        <v>76236</v>
      </c>
      <c r="L26" s="70">
        <f t="shared" si="3"/>
        <v>33708.48</v>
      </c>
      <c r="M26" s="75">
        <f t="shared" si="10"/>
        <v>406923.4684</v>
      </c>
      <c r="N26" s="75">
        <f>(M26)*(1+'Traditional FIRE'!$H$8)</f>
        <v>422726.3216</v>
      </c>
      <c r="O26" s="77">
        <f t="shared" si="4"/>
        <v>15802.85314</v>
      </c>
      <c r="P26" s="75">
        <f>N26*'Traditional FIRE'!$H$9</f>
        <v>12681.78965</v>
      </c>
      <c r="Q26" s="71">
        <f t="shared" si="5"/>
        <v>6.011454386</v>
      </c>
      <c r="R26" s="63" t="str">
        <f t="shared" si="6"/>
        <v/>
      </c>
      <c r="S26" s="1"/>
      <c r="T26" s="1"/>
      <c r="U26" s="1"/>
      <c r="V26" s="1"/>
      <c r="W26" s="1"/>
    </row>
    <row r="27" ht="15.75" customHeight="1">
      <c r="A27" s="74">
        <f t="shared" ref="A27:C27" si="14">A26+1</f>
        <v>39</v>
      </c>
      <c r="B27" s="65">
        <f t="shared" si="14"/>
        <v>2032</v>
      </c>
      <c r="C27" s="65">
        <f t="shared" si="14"/>
        <v>7</v>
      </c>
      <c r="D27" s="66">
        <f>D26*(1+'Traditional FIRE'!$H$5)</f>
        <v>294000</v>
      </c>
      <c r="E27" s="67">
        <f>D27*(1-'Traditional FIRE'!$H$7)/12</f>
        <v>16488.5</v>
      </c>
      <c r="F27" s="66">
        <f t="shared" si="8"/>
        <v>6353</v>
      </c>
      <c r="G27" s="68"/>
      <c r="H27" s="66">
        <f t="shared" si="9"/>
        <v>10135.5</v>
      </c>
      <c r="I27" s="69">
        <v>-7326.46</v>
      </c>
      <c r="J27" s="68"/>
      <c r="K27" s="66">
        <f t="shared" si="2"/>
        <v>76236</v>
      </c>
      <c r="L27" s="70">
        <f t="shared" si="3"/>
        <v>33708.48</v>
      </c>
      <c r="M27" s="66">
        <f t="shared" si="10"/>
        <v>456434.8016</v>
      </c>
      <c r="N27" s="66">
        <f>(M27)*(1+'Traditional FIRE'!$H$8)</f>
        <v>474160.4249</v>
      </c>
      <c r="O27" s="70">
        <f t="shared" si="4"/>
        <v>17725.62336</v>
      </c>
      <c r="P27" s="66">
        <f>N27*'Traditional FIRE'!$H$9</f>
        <v>14224.81275</v>
      </c>
      <c r="Q27" s="71">
        <f t="shared" si="5"/>
        <v>5.359367561</v>
      </c>
      <c r="R27" s="72" t="str">
        <f t="shared" si="6"/>
        <v/>
      </c>
      <c r="S27" s="1"/>
      <c r="T27" s="1"/>
      <c r="U27" s="1"/>
      <c r="V27" s="1"/>
      <c r="W27" s="1"/>
    </row>
    <row r="28" ht="15.75" customHeight="1">
      <c r="A28" s="74">
        <f t="shared" ref="A28:C28" si="15">A27+1</f>
        <v>40</v>
      </c>
      <c r="B28" s="54">
        <f t="shared" si="15"/>
        <v>2033</v>
      </c>
      <c r="C28" s="54">
        <f t="shared" si="15"/>
        <v>8</v>
      </c>
      <c r="D28" s="75">
        <f>D27*(1+'Traditional FIRE'!$H$5)</f>
        <v>294000</v>
      </c>
      <c r="E28" s="76">
        <f>D28*(1-'Traditional FIRE'!$H$7)/12</f>
        <v>16488.5</v>
      </c>
      <c r="F28" s="75">
        <f t="shared" si="8"/>
        <v>6353</v>
      </c>
      <c r="G28" s="68"/>
      <c r="H28" s="75">
        <f t="shared" si="9"/>
        <v>10135.5</v>
      </c>
      <c r="I28" s="69">
        <v>-7326.46</v>
      </c>
      <c r="J28" s="68"/>
      <c r="K28" s="75">
        <f t="shared" si="2"/>
        <v>76236</v>
      </c>
      <c r="L28" s="70">
        <f t="shared" si="3"/>
        <v>33708.48</v>
      </c>
      <c r="M28" s="75">
        <f t="shared" si="10"/>
        <v>507868.9049</v>
      </c>
      <c r="N28" s="75">
        <f>(M28)*(1+'Traditional FIRE'!$H$8)</f>
        <v>527591.9692</v>
      </c>
      <c r="O28" s="77">
        <f t="shared" si="4"/>
        <v>19723.06427</v>
      </c>
      <c r="P28" s="75">
        <f>N28*'Traditional FIRE'!$H$9</f>
        <v>15827.75908</v>
      </c>
      <c r="Q28" s="71">
        <f t="shared" si="5"/>
        <v>4.816600988</v>
      </c>
      <c r="R28" s="63" t="str">
        <f t="shared" si="6"/>
        <v/>
      </c>
      <c r="S28" s="1"/>
      <c r="T28" s="1"/>
      <c r="U28" s="1"/>
      <c r="V28" s="1"/>
      <c r="W28" s="1"/>
    </row>
    <row r="29" ht="15.75" customHeight="1">
      <c r="A29" s="74">
        <f t="shared" ref="A29:C29" si="16">A28+1</f>
        <v>41</v>
      </c>
      <c r="B29" s="65">
        <f t="shared" si="16"/>
        <v>2034</v>
      </c>
      <c r="C29" s="65">
        <f t="shared" si="16"/>
        <v>9</v>
      </c>
      <c r="D29" s="66">
        <f>D28*(1+'Traditional FIRE'!$H$5)</f>
        <v>294000</v>
      </c>
      <c r="E29" s="67">
        <f>D29*(1-'Traditional FIRE'!$H$7)/12</f>
        <v>16488.5</v>
      </c>
      <c r="F29" s="66">
        <f t="shared" si="8"/>
        <v>6353</v>
      </c>
      <c r="G29" s="68"/>
      <c r="H29" s="66">
        <f t="shared" si="9"/>
        <v>10135.5</v>
      </c>
      <c r="I29" s="69">
        <v>-7326.46</v>
      </c>
      <c r="J29" s="68"/>
      <c r="K29" s="66">
        <f t="shared" si="2"/>
        <v>76236</v>
      </c>
      <c r="L29" s="70">
        <f t="shared" si="3"/>
        <v>33708.48</v>
      </c>
      <c r="M29" s="66">
        <f t="shared" si="10"/>
        <v>561300.4492</v>
      </c>
      <c r="N29" s="66">
        <f>(M29)*(1+'Traditional FIRE'!$H$8)</f>
        <v>583098.5249</v>
      </c>
      <c r="O29" s="70">
        <f t="shared" si="4"/>
        <v>21798.0757</v>
      </c>
      <c r="P29" s="66">
        <f>N29*'Traditional FIRE'!$H$9</f>
        <v>17492.95575</v>
      </c>
      <c r="Q29" s="71">
        <f t="shared" si="5"/>
        <v>4.358097117</v>
      </c>
      <c r="R29" s="72" t="str">
        <f t="shared" si="6"/>
        <v/>
      </c>
      <c r="S29" s="1"/>
      <c r="T29" s="1"/>
      <c r="U29" s="1"/>
      <c r="V29" s="1"/>
      <c r="W29" s="1"/>
    </row>
    <row r="30" ht="15.75" customHeight="1">
      <c r="A30" s="74">
        <f t="shared" ref="A30:C30" si="17">A29+1</f>
        <v>42</v>
      </c>
      <c r="B30" s="54">
        <f t="shared" si="17"/>
        <v>2035</v>
      </c>
      <c r="C30" s="54">
        <f t="shared" si="17"/>
        <v>10</v>
      </c>
      <c r="D30" s="75">
        <f>D29*(1+'Traditional FIRE'!$H$5)</f>
        <v>294000</v>
      </c>
      <c r="E30" s="76">
        <f>D30*(1-'Traditional FIRE'!$H$7)/12</f>
        <v>16488.5</v>
      </c>
      <c r="F30" s="75">
        <f t="shared" si="8"/>
        <v>6353</v>
      </c>
      <c r="G30" s="68"/>
      <c r="H30" s="75">
        <f t="shared" si="9"/>
        <v>10135.5</v>
      </c>
      <c r="I30" s="69">
        <v>-7326.46</v>
      </c>
      <c r="J30" s="68"/>
      <c r="K30" s="75">
        <f t="shared" si="2"/>
        <v>76236</v>
      </c>
      <c r="L30" s="70">
        <f t="shared" si="3"/>
        <v>33708.48</v>
      </c>
      <c r="M30" s="75">
        <f t="shared" si="10"/>
        <v>616807.0049</v>
      </c>
      <c r="N30" s="75">
        <f>(M30)*(1+'Traditional FIRE'!$H$8)</f>
        <v>640760.675</v>
      </c>
      <c r="O30" s="77">
        <f t="shared" si="4"/>
        <v>23953.67009</v>
      </c>
      <c r="P30" s="75">
        <f>N30*'Traditional FIRE'!$H$9</f>
        <v>19222.82025</v>
      </c>
      <c r="Q30" s="71">
        <f t="shared" si="5"/>
        <v>3.965911298</v>
      </c>
      <c r="R30" s="63" t="str">
        <f t="shared" si="6"/>
        <v/>
      </c>
      <c r="S30" s="1"/>
      <c r="T30" s="1"/>
      <c r="U30" s="1"/>
      <c r="V30" s="1"/>
      <c r="W30" s="1"/>
    </row>
    <row r="31" ht="15.75" customHeight="1">
      <c r="A31" s="74">
        <f t="shared" ref="A31:C31" si="18">A30+1</f>
        <v>43</v>
      </c>
      <c r="B31" s="65">
        <f t="shared" si="18"/>
        <v>2036</v>
      </c>
      <c r="C31" s="65">
        <f t="shared" si="18"/>
        <v>11</v>
      </c>
      <c r="D31" s="66">
        <f>D30*(1+'Traditional FIRE'!$H$5)</f>
        <v>294000</v>
      </c>
      <c r="E31" s="67">
        <f>D31*(1-'Traditional FIRE'!$H$7)/12</f>
        <v>16488.5</v>
      </c>
      <c r="F31" s="66">
        <f t="shared" si="8"/>
        <v>6353</v>
      </c>
      <c r="G31" s="68"/>
      <c r="H31" s="66">
        <f t="shared" si="9"/>
        <v>10135.5</v>
      </c>
      <c r="I31" s="69">
        <v>-7326.46</v>
      </c>
      <c r="J31" s="68"/>
      <c r="K31" s="66">
        <f t="shared" si="2"/>
        <v>76236</v>
      </c>
      <c r="L31" s="70">
        <f t="shared" si="3"/>
        <v>33708.48</v>
      </c>
      <c r="M31" s="66">
        <f t="shared" si="10"/>
        <v>674469.155</v>
      </c>
      <c r="N31" s="66">
        <f>(M31)*(1+'Traditional FIRE'!$H$8)</f>
        <v>700662.1319</v>
      </c>
      <c r="O31" s="70">
        <f t="shared" si="4"/>
        <v>26192.97689</v>
      </c>
      <c r="P31" s="66">
        <f>N31*'Traditional FIRE'!$H$9</f>
        <v>21019.86396</v>
      </c>
      <c r="Q31" s="71">
        <f t="shared" si="5"/>
        <v>3.626855062</v>
      </c>
      <c r="R31" s="72" t="str">
        <f t="shared" si="6"/>
        <v/>
      </c>
      <c r="S31" s="1"/>
      <c r="T31" s="1"/>
      <c r="U31" s="1"/>
      <c r="V31" s="1"/>
      <c r="W31" s="1"/>
    </row>
    <row r="32" ht="15.75" customHeight="1">
      <c r="A32" s="74">
        <f t="shared" ref="A32:C32" si="19">A31+1</f>
        <v>44</v>
      </c>
      <c r="B32" s="54">
        <f t="shared" si="19"/>
        <v>2037</v>
      </c>
      <c r="C32" s="54">
        <f t="shared" si="19"/>
        <v>12</v>
      </c>
      <c r="D32" s="75">
        <f>D31*(1+'Traditional FIRE'!$H$5)</f>
        <v>294000</v>
      </c>
      <c r="E32" s="76">
        <f>D32*(1-'Traditional FIRE'!$H$7)/12</f>
        <v>16488.5</v>
      </c>
      <c r="F32" s="75">
        <f t="shared" si="8"/>
        <v>6353</v>
      </c>
      <c r="G32" s="68"/>
      <c r="H32" s="75">
        <f t="shared" si="9"/>
        <v>10135.5</v>
      </c>
      <c r="I32" s="69">
        <v>-7326.46</v>
      </c>
      <c r="J32" s="68"/>
      <c r="K32" s="75">
        <f t="shared" si="2"/>
        <v>76236</v>
      </c>
      <c r="L32" s="70">
        <f t="shared" si="3"/>
        <v>33708.48</v>
      </c>
      <c r="M32" s="75">
        <f t="shared" si="10"/>
        <v>734370.6119</v>
      </c>
      <c r="N32" s="75">
        <f>(M32)*(1+'Traditional FIRE'!$H$8)</f>
        <v>762889.8589</v>
      </c>
      <c r="O32" s="77">
        <f t="shared" si="4"/>
        <v>28519.24706</v>
      </c>
      <c r="P32" s="75">
        <f>N32*'Traditional FIRE'!$H$9</f>
        <v>22886.69577</v>
      </c>
      <c r="Q32" s="71">
        <f t="shared" si="5"/>
        <v>3.331018194</v>
      </c>
      <c r="R32" s="63" t="str">
        <f t="shared" si="6"/>
        <v/>
      </c>
      <c r="S32" s="1"/>
      <c r="T32" s="1"/>
      <c r="U32" s="1"/>
      <c r="V32" s="1"/>
      <c r="W32" s="1"/>
    </row>
    <row r="33" ht="15.75" customHeight="1">
      <c r="A33" s="74">
        <f t="shared" ref="A33:C33" si="20">A32+1</f>
        <v>45</v>
      </c>
      <c r="B33" s="65">
        <f t="shared" si="20"/>
        <v>2038</v>
      </c>
      <c r="C33" s="65">
        <f t="shared" si="20"/>
        <v>13</v>
      </c>
      <c r="D33" s="66">
        <f>D32*(1+'Traditional FIRE'!$H$5)</f>
        <v>294000</v>
      </c>
      <c r="E33" s="67">
        <f>D33*(1-'Traditional FIRE'!$H$7)/12</f>
        <v>16488.5</v>
      </c>
      <c r="F33" s="66">
        <f t="shared" si="8"/>
        <v>6353</v>
      </c>
      <c r="G33" s="68"/>
      <c r="H33" s="66">
        <f t="shared" si="9"/>
        <v>10135.5</v>
      </c>
      <c r="I33" s="69">
        <v>-7326.46</v>
      </c>
      <c r="J33" s="68"/>
      <c r="K33" s="66">
        <f t="shared" si="2"/>
        <v>76236</v>
      </c>
      <c r="L33" s="70">
        <f t="shared" si="3"/>
        <v>33708.48</v>
      </c>
      <c r="M33" s="66">
        <f t="shared" si="10"/>
        <v>796598.3389</v>
      </c>
      <c r="N33" s="66">
        <f>(M33)*(1+'Traditional FIRE'!$H$8)</f>
        <v>827534.1968</v>
      </c>
      <c r="O33" s="70">
        <f t="shared" si="4"/>
        <v>30935.85782</v>
      </c>
      <c r="P33" s="66">
        <f>N33*'Traditional FIRE'!$H$9</f>
        <v>24826.0259</v>
      </c>
      <c r="Q33" s="71">
        <f t="shared" si="5"/>
        <v>3.070809654</v>
      </c>
      <c r="R33" s="72" t="str">
        <f t="shared" si="6"/>
        <v/>
      </c>
      <c r="S33" s="1"/>
      <c r="T33" s="1"/>
      <c r="U33" s="1"/>
      <c r="V33" s="1"/>
      <c r="W33" s="1"/>
    </row>
    <row r="34" ht="15.75" customHeight="1">
      <c r="A34" s="74">
        <f t="shared" ref="A34:C34" si="21">A33+1</f>
        <v>46</v>
      </c>
      <c r="B34" s="54">
        <f t="shared" si="21"/>
        <v>2039</v>
      </c>
      <c r="C34" s="54">
        <f t="shared" si="21"/>
        <v>14</v>
      </c>
      <c r="D34" s="75">
        <f>D33*(1+'Traditional FIRE'!$H$5)</f>
        <v>294000</v>
      </c>
      <c r="E34" s="76">
        <f>D34*(1-'Traditional FIRE'!$H$7)/12</f>
        <v>16488.5</v>
      </c>
      <c r="F34" s="75">
        <f t="shared" si="8"/>
        <v>6353</v>
      </c>
      <c r="G34" s="68"/>
      <c r="H34" s="75">
        <f t="shared" si="9"/>
        <v>10135.5</v>
      </c>
      <c r="I34" s="69">
        <v>-7326.46</v>
      </c>
      <c r="J34" s="68"/>
      <c r="K34" s="75">
        <f t="shared" si="2"/>
        <v>76236</v>
      </c>
      <c r="L34" s="70">
        <f t="shared" si="3"/>
        <v>33708.48</v>
      </c>
      <c r="M34" s="75">
        <f t="shared" si="10"/>
        <v>861242.6768</v>
      </c>
      <c r="N34" s="75">
        <f>(M34)*(1+'Traditional FIRE'!$H$8)</f>
        <v>894688.9943</v>
      </c>
      <c r="O34" s="77">
        <f t="shared" si="4"/>
        <v>33446.31754</v>
      </c>
      <c r="P34" s="75">
        <f>N34*'Traditional FIRE'!$H$9</f>
        <v>26840.66983</v>
      </c>
      <c r="Q34" s="71">
        <f t="shared" si="5"/>
        <v>2.840316597</v>
      </c>
      <c r="R34" s="63" t="str">
        <f t="shared" si="6"/>
        <v/>
      </c>
      <c r="S34" s="1"/>
      <c r="T34" s="1"/>
      <c r="U34" s="1"/>
      <c r="V34" s="1"/>
      <c r="W34" s="1"/>
    </row>
    <row r="35" ht="15.75" customHeight="1">
      <c r="A35" s="74">
        <f t="shared" ref="A35:C35" si="22">A34+1</f>
        <v>47</v>
      </c>
      <c r="B35" s="65">
        <f t="shared" si="22"/>
        <v>2040</v>
      </c>
      <c r="C35" s="65">
        <f t="shared" si="22"/>
        <v>15</v>
      </c>
      <c r="D35" s="66">
        <f>D34*(1+'Traditional FIRE'!$H$5)</f>
        <v>294000</v>
      </c>
      <c r="E35" s="67">
        <f>D35*(1-'Traditional FIRE'!$H$7)/12</f>
        <v>16488.5</v>
      </c>
      <c r="F35" s="66">
        <f t="shared" si="8"/>
        <v>6353</v>
      </c>
      <c r="G35" s="68"/>
      <c r="H35" s="66">
        <f t="shared" si="9"/>
        <v>10135.5</v>
      </c>
      <c r="I35" s="69">
        <v>-7326.46</v>
      </c>
      <c r="J35" s="68"/>
      <c r="K35" s="66">
        <f t="shared" si="2"/>
        <v>76236</v>
      </c>
      <c r="L35" s="70">
        <f t="shared" si="3"/>
        <v>33708.48</v>
      </c>
      <c r="M35" s="66">
        <f t="shared" si="10"/>
        <v>928397.4743</v>
      </c>
      <c r="N35" s="66">
        <f>(M35)*(1+'Traditional FIRE'!$H$8)</f>
        <v>964451.7451</v>
      </c>
      <c r="O35" s="70">
        <f t="shared" si="4"/>
        <v>36054.27085</v>
      </c>
      <c r="P35" s="66">
        <f>N35*'Traditional FIRE'!$H$9</f>
        <v>28933.55235</v>
      </c>
      <c r="Q35" s="71">
        <f t="shared" si="5"/>
        <v>2.634864847</v>
      </c>
      <c r="R35" s="72" t="str">
        <f t="shared" si="6"/>
        <v/>
      </c>
      <c r="S35" s="1"/>
      <c r="T35" s="1"/>
      <c r="U35" s="1"/>
      <c r="V35" s="1"/>
      <c r="W35" s="1"/>
    </row>
    <row r="36" ht="15.75" customHeight="1">
      <c r="A36" s="74">
        <f t="shared" ref="A36:C36" si="23">A35+1</f>
        <v>48</v>
      </c>
      <c r="B36" s="54">
        <f t="shared" si="23"/>
        <v>2041</v>
      </c>
      <c r="C36" s="54">
        <f t="shared" si="23"/>
        <v>16</v>
      </c>
      <c r="D36" s="75">
        <f>D35*(1+'Traditional FIRE'!$H$5)</f>
        <v>294000</v>
      </c>
      <c r="E36" s="76">
        <f>D36*(1-'Traditional FIRE'!$H$7)/12</f>
        <v>16488.5</v>
      </c>
      <c r="F36" s="75">
        <f t="shared" si="8"/>
        <v>6353</v>
      </c>
      <c r="G36" s="68"/>
      <c r="H36" s="75">
        <f t="shared" si="9"/>
        <v>10135.5</v>
      </c>
      <c r="I36" s="78">
        <v>-7326.46</v>
      </c>
      <c r="J36" s="68"/>
      <c r="K36" s="75">
        <f t="shared" si="2"/>
        <v>76236</v>
      </c>
      <c r="L36" s="70">
        <f t="shared" si="3"/>
        <v>33708.48</v>
      </c>
      <c r="M36" s="75">
        <f t="shared" si="10"/>
        <v>998160.2251</v>
      </c>
      <c r="N36" s="75">
        <f>(M36)*(1+'Traditional FIRE'!$H$8)</f>
        <v>1036923.729</v>
      </c>
      <c r="O36" s="77">
        <f t="shared" si="4"/>
        <v>38763.50389</v>
      </c>
      <c r="P36" s="75">
        <f>N36*'Traditional FIRE'!$H$9</f>
        <v>31107.71187</v>
      </c>
      <c r="Q36" s="71">
        <f t="shared" si="5"/>
        <v>2.450710625</v>
      </c>
      <c r="R36" s="63" t="str">
        <f t="shared" si="6"/>
        <v/>
      </c>
      <c r="S36" s="1"/>
      <c r="T36" s="1"/>
      <c r="U36" s="1"/>
      <c r="V36" s="1"/>
      <c r="W36" s="1"/>
    </row>
    <row r="37" ht="15.75" customHeight="1">
      <c r="A37" s="74">
        <f t="shared" ref="A37:C37" si="24">A36+1</f>
        <v>49</v>
      </c>
      <c r="B37" s="65">
        <f t="shared" si="24"/>
        <v>2042</v>
      </c>
      <c r="C37" s="65">
        <f t="shared" si="24"/>
        <v>17</v>
      </c>
      <c r="D37" s="66">
        <f>D36*(1+'Traditional FIRE'!$H$5)</f>
        <v>294000</v>
      </c>
      <c r="E37" s="67">
        <f>D37*(1-'Traditional FIRE'!$H$7)/12</f>
        <v>16488.5</v>
      </c>
      <c r="F37" s="66">
        <f t="shared" si="8"/>
        <v>6353</v>
      </c>
      <c r="G37" s="68"/>
      <c r="H37" s="66">
        <f t="shared" si="9"/>
        <v>10135.5</v>
      </c>
      <c r="I37" s="78">
        <v>-7326.46</v>
      </c>
      <c r="J37" s="68"/>
      <c r="K37" s="66">
        <f t="shared" si="2"/>
        <v>76236</v>
      </c>
      <c r="L37" s="70">
        <f t="shared" si="3"/>
        <v>33708.48</v>
      </c>
      <c r="M37" s="66">
        <f t="shared" si="10"/>
        <v>1070632.209</v>
      </c>
      <c r="N37" s="66">
        <f>(M37)*(1+'Traditional FIRE'!$H$8)</f>
        <v>1112210.159</v>
      </c>
      <c r="O37" s="70">
        <f t="shared" si="4"/>
        <v>41577.94987</v>
      </c>
      <c r="P37" s="66">
        <f>N37*'Traditional FIRE'!$H$9</f>
        <v>33366.30477</v>
      </c>
      <c r="Q37" s="71">
        <f t="shared" si="5"/>
        <v>2.284819986</v>
      </c>
      <c r="R37" s="72" t="str">
        <f t="shared" si="6"/>
        <v/>
      </c>
      <c r="S37" s="1"/>
      <c r="T37" s="1"/>
      <c r="U37" s="1"/>
      <c r="V37" s="1"/>
      <c r="W37" s="1"/>
    </row>
    <row r="38" ht="15.75" customHeight="1">
      <c r="A38" s="74">
        <f t="shared" ref="A38:C38" si="25">A37+1</f>
        <v>50</v>
      </c>
      <c r="B38" s="54">
        <f t="shared" si="25"/>
        <v>2043</v>
      </c>
      <c r="C38" s="54">
        <f t="shared" si="25"/>
        <v>18</v>
      </c>
      <c r="D38" s="75">
        <f>D37*(1+'Traditional FIRE'!$H$5)</f>
        <v>294000</v>
      </c>
      <c r="E38" s="76">
        <f>D38*(1-'Traditional FIRE'!$H$7)/12</f>
        <v>16488.5</v>
      </c>
      <c r="F38" s="75">
        <f t="shared" si="8"/>
        <v>6353</v>
      </c>
      <c r="G38" s="68"/>
      <c r="H38" s="75">
        <f t="shared" si="9"/>
        <v>10135.5</v>
      </c>
      <c r="I38" s="78">
        <v>-7326.46</v>
      </c>
      <c r="J38" s="68"/>
      <c r="K38" s="75">
        <f t="shared" si="2"/>
        <v>76236</v>
      </c>
      <c r="L38" s="70">
        <f t="shared" si="3"/>
        <v>33708.48</v>
      </c>
      <c r="M38" s="75">
        <f t="shared" si="10"/>
        <v>1145918.639</v>
      </c>
      <c r="N38" s="75">
        <f>(M38)*(1+'Traditional FIRE'!$H$8)</f>
        <v>1190420.334</v>
      </c>
      <c r="O38" s="77">
        <f t="shared" si="4"/>
        <v>44501.69471</v>
      </c>
      <c r="P38" s="75">
        <f>N38*'Traditional FIRE'!$H$9</f>
        <v>35712.61001</v>
      </c>
      <c r="Q38" s="71">
        <f t="shared" si="5"/>
        <v>2.13470816</v>
      </c>
      <c r="R38" s="63" t="str">
        <f t="shared" si="6"/>
        <v/>
      </c>
      <c r="S38" s="1"/>
      <c r="T38" s="1"/>
      <c r="U38" s="1"/>
      <c r="V38" s="1"/>
      <c r="W38" s="1"/>
    </row>
    <row r="39" ht="15.75" customHeight="1">
      <c r="A39" s="74">
        <f t="shared" ref="A39:C39" si="26">A38+1</f>
        <v>51</v>
      </c>
      <c r="B39" s="65">
        <f t="shared" si="26"/>
        <v>2044</v>
      </c>
      <c r="C39" s="65">
        <f t="shared" si="26"/>
        <v>19</v>
      </c>
      <c r="D39" s="66">
        <f>D38*(1+'Traditional FIRE'!$H$5)</f>
        <v>294000</v>
      </c>
      <c r="E39" s="67">
        <f>D39*(1-'Traditional FIRE'!$H$7)/12</f>
        <v>16488.5</v>
      </c>
      <c r="F39" s="66">
        <f t="shared" si="8"/>
        <v>6353</v>
      </c>
      <c r="G39" s="68"/>
      <c r="H39" s="66">
        <f t="shared" si="9"/>
        <v>10135.5</v>
      </c>
      <c r="I39" s="78">
        <v>-7326.46</v>
      </c>
      <c r="J39" s="68"/>
      <c r="K39" s="66">
        <f t="shared" si="2"/>
        <v>76236</v>
      </c>
      <c r="L39" s="70">
        <f t="shared" si="3"/>
        <v>33708.48</v>
      </c>
      <c r="M39" s="66">
        <f t="shared" si="10"/>
        <v>1224128.814</v>
      </c>
      <c r="N39" s="66">
        <f>(M39)*(1+'Traditional FIRE'!$H$8)</f>
        <v>1271667.797</v>
      </c>
      <c r="O39" s="70">
        <f t="shared" si="4"/>
        <v>47538.98305</v>
      </c>
      <c r="P39" s="66">
        <f>N39*'Traditional FIRE'!$H$9</f>
        <v>38150.0339</v>
      </c>
      <c r="Q39" s="71">
        <f t="shared" si="5"/>
        <v>1.998320636</v>
      </c>
      <c r="R39" s="72" t="str">
        <f t="shared" si="6"/>
        <v/>
      </c>
      <c r="S39" s="1"/>
      <c r="T39" s="1"/>
      <c r="U39" s="1"/>
      <c r="V39" s="1"/>
      <c r="W39" s="1"/>
    </row>
    <row r="40" ht="15.75" customHeight="1">
      <c r="A40" s="74">
        <f t="shared" ref="A40:C40" si="27">A39+1</f>
        <v>52</v>
      </c>
      <c r="B40" s="54">
        <f t="shared" si="27"/>
        <v>2045</v>
      </c>
      <c r="C40" s="54">
        <f t="shared" si="27"/>
        <v>20</v>
      </c>
      <c r="D40" s="75">
        <f>D39*(1+'Traditional FIRE'!$H$5)</f>
        <v>294000</v>
      </c>
      <c r="E40" s="76">
        <f>D40*(1-'Traditional FIRE'!$H$7)/12</f>
        <v>16488.5</v>
      </c>
      <c r="F40" s="75">
        <f t="shared" si="8"/>
        <v>6353</v>
      </c>
      <c r="G40" s="68"/>
      <c r="H40" s="75">
        <f t="shared" si="9"/>
        <v>10135.5</v>
      </c>
      <c r="I40" s="78">
        <v>-7326.46</v>
      </c>
      <c r="J40" s="68"/>
      <c r="K40" s="75">
        <f t="shared" si="2"/>
        <v>76236</v>
      </c>
      <c r="L40" s="70">
        <f t="shared" si="3"/>
        <v>33708.48</v>
      </c>
      <c r="M40" s="75">
        <f t="shared" si="10"/>
        <v>1305376.277</v>
      </c>
      <c r="N40" s="75">
        <f>(M40)*(1+'Traditional FIRE'!$H$8)</f>
        <v>1356070.501</v>
      </c>
      <c r="O40" s="77">
        <f t="shared" si="4"/>
        <v>50694.22434</v>
      </c>
      <c r="P40" s="75">
        <f>N40*'Traditional FIRE'!$H$9</f>
        <v>40682.11503</v>
      </c>
      <c r="Q40" s="71">
        <f t="shared" si="5"/>
        <v>1.873943868</v>
      </c>
      <c r="R40" s="63" t="str">
        <f t="shared" si="6"/>
        <v/>
      </c>
      <c r="S40" s="1"/>
      <c r="T40" s="1"/>
      <c r="U40" s="1"/>
      <c r="V40" s="1"/>
      <c r="W40" s="1"/>
    </row>
    <row r="41" ht="15.75" customHeight="1">
      <c r="A41" s="74">
        <f t="shared" ref="A41:C41" si="28">A40+1</f>
        <v>53</v>
      </c>
      <c r="B41" s="65">
        <f t="shared" si="28"/>
        <v>2046</v>
      </c>
      <c r="C41" s="65">
        <f t="shared" si="28"/>
        <v>21</v>
      </c>
      <c r="D41" s="66">
        <f>D40*(1+'Traditional FIRE'!$H$5)</f>
        <v>294000</v>
      </c>
      <c r="E41" s="67">
        <f>D41*(1-'Traditional FIRE'!$H$7)/12</f>
        <v>16488.5</v>
      </c>
      <c r="F41" s="66">
        <f t="shared" si="8"/>
        <v>6353</v>
      </c>
      <c r="G41" s="68"/>
      <c r="H41" s="66">
        <f t="shared" si="9"/>
        <v>10135.5</v>
      </c>
      <c r="I41" s="78">
        <v>-7326.46</v>
      </c>
      <c r="J41" s="68"/>
      <c r="K41" s="66">
        <f t="shared" si="2"/>
        <v>76236</v>
      </c>
      <c r="L41" s="70">
        <f t="shared" si="3"/>
        <v>33708.48</v>
      </c>
      <c r="M41" s="66">
        <f t="shared" si="10"/>
        <v>1389778.981</v>
      </c>
      <c r="N41" s="66">
        <f>(M41)*(1+'Traditional FIRE'!$H$8)</f>
        <v>1443750.98</v>
      </c>
      <c r="O41" s="70">
        <f t="shared" si="4"/>
        <v>53971.99926</v>
      </c>
      <c r="P41" s="66">
        <f>N41*'Traditional FIRE'!$H$9</f>
        <v>43312.52941</v>
      </c>
      <c r="Q41" s="71">
        <f t="shared" si="5"/>
        <v>1.760137333</v>
      </c>
      <c r="R41" s="72" t="str">
        <f t="shared" si="6"/>
        <v/>
      </c>
      <c r="S41" s="1"/>
      <c r="T41" s="1"/>
      <c r="U41" s="1"/>
      <c r="V41" s="1"/>
      <c r="W41" s="1"/>
    </row>
    <row r="42" ht="15.75" customHeight="1">
      <c r="A42" s="74">
        <f t="shared" ref="A42:C42" si="29">A41+1</f>
        <v>54</v>
      </c>
      <c r="B42" s="54">
        <f t="shared" si="29"/>
        <v>2047</v>
      </c>
      <c r="C42" s="54">
        <f t="shared" si="29"/>
        <v>22</v>
      </c>
      <c r="D42" s="75">
        <f>D41*(1+'Traditional FIRE'!$H$5)</f>
        <v>294000</v>
      </c>
      <c r="E42" s="76">
        <f>D42*(1-'Traditional FIRE'!$H$7)/12</f>
        <v>16488.5</v>
      </c>
      <c r="F42" s="75">
        <f t="shared" si="8"/>
        <v>6353</v>
      </c>
      <c r="G42" s="68"/>
      <c r="H42" s="75">
        <f t="shared" si="9"/>
        <v>10135.5</v>
      </c>
      <c r="I42" s="78">
        <v>-7326.46</v>
      </c>
      <c r="J42" s="68"/>
      <c r="K42" s="75">
        <f t="shared" si="2"/>
        <v>76236</v>
      </c>
      <c r="L42" s="70">
        <f t="shared" si="3"/>
        <v>33708.48</v>
      </c>
      <c r="M42" s="75">
        <f t="shared" si="10"/>
        <v>1477459.46</v>
      </c>
      <c r="N42" s="75">
        <f>(M42)*(1+'Traditional FIRE'!$H$8)</f>
        <v>1534836.527</v>
      </c>
      <c r="O42" s="77">
        <f t="shared" si="4"/>
        <v>57377.06642</v>
      </c>
      <c r="P42" s="75">
        <f>N42*'Traditional FIRE'!$H$9</f>
        <v>46045.0958</v>
      </c>
      <c r="Q42" s="71">
        <f t="shared" si="5"/>
        <v>1.655681212</v>
      </c>
      <c r="R42" s="63" t="str">
        <f t="shared" si="6"/>
        <v/>
      </c>
      <c r="S42" s="1"/>
      <c r="T42" s="1"/>
      <c r="U42" s="1"/>
      <c r="V42" s="1"/>
      <c r="W42" s="1"/>
    </row>
    <row r="43" ht="15.75" customHeight="1">
      <c r="A43" s="74">
        <f t="shared" ref="A43:C43" si="30">A42+1</f>
        <v>55</v>
      </c>
      <c r="B43" s="65">
        <f t="shared" si="30"/>
        <v>2048</v>
      </c>
      <c r="C43" s="65">
        <f t="shared" si="30"/>
        <v>23</v>
      </c>
      <c r="D43" s="66">
        <f>D42*(1+'Traditional FIRE'!$H$5)</f>
        <v>294000</v>
      </c>
      <c r="E43" s="67">
        <f>D43*(1-'Traditional FIRE'!$H$7)/12</f>
        <v>16488.5</v>
      </c>
      <c r="F43" s="66">
        <f t="shared" si="8"/>
        <v>6353</v>
      </c>
      <c r="G43" s="68"/>
      <c r="H43" s="66">
        <f t="shared" si="9"/>
        <v>10135.5</v>
      </c>
      <c r="I43" s="78">
        <v>-7326.46</v>
      </c>
      <c r="J43" s="68"/>
      <c r="K43" s="66">
        <f t="shared" si="2"/>
        <v>76236</v>
      </c>
      <c r="L43" s="70">
        <f t="shared" si="3"/>
        <v>33708.48</v>
      </c>
      <c r="M43" s="66">
        <f t="shared" si="10"/>
        <v>1568545.007</v>
      </c>
      <c r="N43" s="66">
        <f>(M43)*(1+'Traditional FIRE'!$H$8)</f>
        <v>1629459.376</v>
      </c>
      <c r="O43" s="70">
        <f t="shared" si="4"/>
        <v>60914.36919</v>
      </c>
      <c r="P43" s="66">
        <f>N43*'Traditional FIRE'!$H$9</f>
        <v>48883.78128</v>
      </c>
      <c r="Q43" s="71">
        <f t="shared" si="5"/>
        <v>1.559535658</v>
      </c>
      <c r="R43" s="72" t="str">
        <f t="shared" si="6"/>
        <v/>
      </c>
      <c r="S43" s="1"/>
      <c r="T43" s="1"/>
      <c r="U43" s="1"/>
      <c r="V43" s="1"/>
      <c r="W43" s="1"/>
    </row>
    <row r="44" ht="15.75" customHeight="1">
      <c r="A44" s="74">
        <f t="shared" ref="A44:C44" si="31">A43+1</f>
        <v>56</v>
      </c>
      <c r="B44" s="54">
        <f t="shared" si="31"/>
        <v>2049</v>
      </c>
      <c r="C44" s="54">
        <f t="shared" si="31"/>
        <v>24</v>
      </c>
      <c r="D44" s="75">
        <f>D43*(1+'Traditional FIRE'!$H$5)</f>
        <v>294000</v>
      </c>
      <c r="E44" s="76">
        <f>D44*(1-'Traditional FIRE'!$H$7)/12</f>
        <v>16488.5</v>
      </c>
      <c r="F44" s="75">
        <f t="shared" si="8"/>
        <v>6353</v>
      </c>
      <c r="G44" s="68"/>
      <c r="H44" s="75">
        <f t="shared" si="9"/>
        <v>10135.5</v>
      </c>
      <c r="I44" s="78">
        <v>-7326.46</v>
      </c>
      <c r="J44" s="68"/>
      <c r="K44" s="75">
        <f t="shared" si="2"/>
        <v>76236</v>
      </c>
      <c r="L44" s="70">
        <f t="shared" si="3"/>
        <v>33708.48</v>
      </c>
      <c r="M44" s="75">
        <f t="shared" si="10"/>
        <v>1663167.856</v>
      </c>
      <c r="N44" s="75">
        <f>(M44)*(1+'Traditional FIRE'!$H$8)</f>
        <v>1727756.899</v>
      </c>
      <c r="O44" s="77">
        <f t="shared" si="4"/>
        <v>64589.04295</v>
      </c>
      <c r="P44" s="75">
        <f>N44*'Traditional FIRE'!$H$9</f>
        <v>51832.70696</v>
      </c>
      <c r="Q44" s="71">
        <f t="shared" si="5"/>
        <v>1.47080877</v>
      </c>
      <c r="R44" s="63" t="str">
        <f t="shared" si="6"/>
        <v>Coast FI/RE Achieved</v>
      </c>
      <c r="S44" s="1"/>
      <c r="T44" s="1"/>
      <c r="U44" s="1"/>
      <c r="V44" s="1"/>
      <c r="W44" s="1"/>
    </row>
    <row r="45" ht="15.75" customHeight="1">
      <c r="A45" s="74">
        <f t="shared" ref="A45:C45" si="32">A44+1</f>
        <v>57</v>
      </c>
      <c r="B45" s="65">
        <f t="shared" si="32"/>
        <v>2050</v>
      </c>
      <c r="C45" s="65">
        <f t="shared" si="32"/>
        <v>25</v>
      </c>
      <c r="D45" s="66">
        <f>D44*(1+'Traditional FIRE'!$H$5)</f>
        <v>294000</v>
      </c>
      <c r="E45" s="67">
        <f>D45*(1-'Traditional FIRE'!$H$7)/12</f>
        <v>16488.5</v>
      </c>
      <c r="F45" s="66">
        <f t="shared" si="8"/>
        <v>6353</v>
      </c>
      <c r="G45" s="68"/>
      <c r="H45" s="66">
        <f t="shared" si="9"/>
        <v>10135.5</v>
      </c>
      <c r="I45" s="78">
        <v>-7326.46</v>
      </c>
      <c r="J45" s="68"/>
      <c r="K45" s="66">
        <f t="shared" si="2"/>
        <v>76236</v>
      </c>
      <c r="L45" s="70">
        <f t="shared" si="3"/>
        <v>33708.48</v>
      </c>
      <c r="M45" s="66">
        <f t="shared" si="10"/>
        <v>1761465.379</v>
      </c>
      <c r="N45" s="66">
        <f>(M45)*(1+'Traditional FIRE'!$H$8)</f>
        <v>1829871.801</v>
      </c>
      <c r="O45" s="70">
        <f t="shared" si="4"/>
        <v>68406.42248</v>
      </c>
      <c r="P45" s="66">
        <f>N45*'Traditional FIRE'!$H$9</f>
        <v>54896.15404</v>
      </c>
      <c r="Q45" s="71">
        <f t="shared" si="5"/>
        <v>1.388731166</v>
      </c>
      <c r="R45" s="72" t="str">
        <f t="shared" si="6"/>
        <v>Coast FI/RE Achieved</v>
      </c>
      <c r="S45" s="1"/>
      <c r="T45" s="1"/>
      <c r="U45" s="1"/>
      <c r="V45" s="1"/>
      <c r="W45" s="1"/>
    </row>
    <row r="46" ht="15.75" customHeight="1">
      <c r="A46" s="74">
        <f t="shared" ref="A46:C46" si="33">A45+1</f>
        <v>58</v>
      </c>
      <c r="B46" s="54">
        <f t="shared" si="33"/>
        <v>2051</v>
      </c>
      <c r="C46" s="54">
        <f t="shared" si="33"/>
        <v>26</v>
      </c>
      <c r="D46" s="75">
        <f>D45*(1+'Traditional FIRE'!$H$5)</f>
        <v>294000</v>
      </c>
      <c r="E46" s="76">
        <f>D46*(1-'Traditional FIRE'!$H$7)/12</f>
        <v>16488.5</v>
      </c>
      <c r="F46" s="75">
        <f t="shared" si="8"/>
        <v>6353</v>
      </c>
      <c r="G46" s="68"/>
      <c r="H46" s="75">
        <f t="shared" si="9"/>
        <v>10135.5</v>
      </c>
      <c r="I46" s="78">
        <v>-7326.46</v>
      </c>
      <c r="J46" s="68"/>
      <c r="K46" s="75">
        <f t="shared" si="2"/>
        <v>76236</v>
      </c>
      <c r="L46" s="70">
        <f t="shared" si="3"/>
        <v>33708.48</v>
      </c>
      <c r="M46" s="75">
        <f t="shared" si="10"/>
        <v>1863580.281</v>
      </c>
      <c r="N46" s="75">
        <f>(M46)*(1+'Traditional FIRE'!$H$8)</f>
        <v>1935952.331</v>
      </c>
      <c r="O46" s="77">
        <f t="shared" si="4"/>
        <v>72372.04976</v>
      </c>
      <c r="P46" s="75">
        <f>N46*'Traditional FIRE'!$H$9</f>
        <v>58078.56993</v>
      </c>
      <c r="Q46" s="71">
        <f t="shared" si="5"/>
        <v>1.312635626</v>
      </c>
      <c r="R46" s="63" t="str">
        <f t="shared" si="6"/>
        <v>Coast FI/RE Achieved</v>
      </c>
      <c r="S46" s="1"/>
      <c r="T46" s="1"/>
      <c r="U46" s="1"/>
      <c r="V46" s="1"/>
      <c r="W46" s="1"/>
    </row>
    <row r="47" ht="15.75" customHeight="1">
      <c r="A47" s="74">
        <f t="shared" ref="A47:C47" si="34">A46+1</f>
        <v>59</v>
      </c>
      <c r="B47" s="65">
        <f t="shared" si="34"/>
        <v>2052</v>
      </c>
      <c r="C47" s="65">
        <f t="shared" si="34"/>
        <v>27</v>
      </c>
      <c r="D47" s="66">
        <f>D46*(1+'Traditional FIRE'!$H$5)</f>
        <v>294000</v>
      </c>
      <c r="E47" s="67">
        <f>D47*(1-'Traditional FIRE'!$H$7)/12</f>
        <v>16488.5</v>
      </c>
      <c r="F47" s="66">
        <f t="shared" si="8"/>
        <v>6353</v>
      </c>
      <c r="G47" s="68"/>
      <c r="H47" s="66">
        <f t="shared" si="9"/>
        <v>10135.5</v>
      </c>
      <c r="I47" s="78">
        <v>-7326.46</v>
      </c>
      <c r="J47" s="68"/>
      <c r="K47" s="66">
        <f t="shared" si="2"/>
        <v>76236</v>
      </c>
      <c r="L47" s="70">
        <f t="shared" si="3"/>
        <v>33708.48</v>
      </c>
      <c r="M47" s="66">
        <f t="shared" si="10"/>
        <v>1969660.811</v>
      </c>
      <c r="N47" s="66">
        <f>(M47)*(1+'Traditional FIRE'!$H$8)</f>
        <v>2046152.493</v>
      </c>
      <c r="O47" s="70">
        <f t="shared" si="4"/>
        <v>76491.68198</v>
      </c>
      <c r="P47" s="66">
        <f>N47*'Traditional FIRE'!$H$9</f>
        <v>61384.57479</v>
      </c>
      <c r="Q47" s="71">
        <f t="shared" si="5"/>
        <v>1.241940671</v>
      </c>
      <c r="R47" s="72" t="str">
        <f t="shared" si="6"/>
        <v>Coast FI/RE Achieved</v>
      </c>
      <c r="S47" s="1"/>
      <c r="T47" s="1"/>
      <c r="U47" s="1"/>
      <c r="V47" s="1"/>
      <c r="W47" s="1"/>
    </row>
    <row r="48" ht="15.75" customHeight="1">
      <c r="A48" s="74">
        <f t="shared" ref="A48:C48" si="35">A47+1</f>
        <v>60</v>
      </c>
      <c r="B48" s="54">
        <f t="shared" si="35"/>
        <v>2053</v>
      </c>
      <c r="C48" s="54">
        <f t="shared" si="35"/>
        <v>28</v>
      </c>
      <c r="D48" s="75">
        <f>D47*(1+'Traditional FIRE'!$H$5)</f>
        <v>294000</v>
      </c>
      <c r="E48" s="76">
        <f>D48*(1-'Traditional FIRE'!$H$7)/12</f>
        <v>16488.5</v>
      </c>
      <c r="F48" s="75">
        <f t="shared" si="8"/>
        <v>6353</v>
      </c>
      <c r="G48" s="68"/>
      <c r="H48" s="75">
        <f t="shared" si="9"/>
        <v>10135.5</v>
      </c>
      <c r="I48" s="78">
        <v>-7326.46</v>
      </c>
      <c r="J48" s="68"/>
      <c r="K48" s="75">
        <f t="shared" si="2"/>
        <v>76236</v>
      </c>
      <c r="L48" s="70">
        <f t="shared" si="3"/>
        <v>33708.48</v>
      </c>
      <c r="M48" s="75">
        <f t="shared" si="10"/>
        <v>2079860.973</v>
      </c>
      <c r="N48" s="75">
        <f>(M48)*(1+'Traditional FIRE'!$H$8)</f>
        <v>2160632.273</v>
      </c>
      <c r="O48" s="77">
        <f t="shared" si="4"/>
        <v>80771.29992</v>
      </c>
      <c r="P48" s="75">
        <f>N48*'Traditional FIRE'!$H$9</f>
        <v>64818.96819</v>
      </c>
      <c r="Q48" s="71">
        <f t="shared" si="5"/>
        <v>1.176137204</v>
      </c>
      <c r="R48" s="63" t="str">
        <f t="shared" si="6"/>
        <v>Coast FI/RE Achieved</v>
      </c>
      <c r="S48" s="1"/>
      <c r="T48" s="1"/>
      <c r="U48" s="1"/>
      <c r="V48" s="1"/>
      <c r="W48" s="1"/>
    </row>
    <row r="49" ht="15.75" customHeight="1">
      <c r="A49" s="74">
        <f t="shared" ref="A49:C49" si="36">A48+1</f>
        <v>61</v>
      </c>
      <c r="B49" s="65">
        <f t="shared" si="36"/>
        <v>2054</v>
      </c>
      <c r="C49" s="65">
        <f t="shared" si="36"/>
        <v>29</v>
      </c>
      <c r="D49" s="66">
        <f>D48*(1+'Traditional FIRE'!$H$5)</f>
        <v>294000</v>
      </c>
      <c r="E49" s="67">
        <f>D49*(1-'Traditional FIRE'!$H$7)/12</f>
        <v>16488.5</v>
      </c>
      <c r="F49" s="66">
        <f t="shared" si="8"/>
        <v>6353</v>
      </c>
      <c r="G49" s="68"/>
      <c r="H49" s="66">
        <f t="shared" si="9"/>
        <v>10135.5</v>
      </c>
      <c r="I49" s="78">
        <v>-7326.46</v>
      </c>
      <c r="J49" s="68"/>
      <c r="K49" s="66">
        <f t="shared" si="2"/>
        <v>76236</v>
      </c>
      <c r="L49" s="70">
        <f t="shared" si="3"/>
        <v>33708.48</v>
      </c>
      <c r="M49" s="66">
        <f t="shared" si="10"/>
        <v>2194340.753</v>
      </c>
      <c r="N49" s="66">
        <f>(M49)*(1+'Traditional FIRE'!$H$8)</f>
        <v>2279557.87</v>
      </c>
      <c r="O49" s="70">
        <f t="shared" si="4"/>
        <v>85217.11662</v>
      </c>
      <c r="P49" s="66">
        <f>N49*'Traditional FIRE'!$H$9</f>
        <v>68386.73609</v>
      </c>
      <c r="Q49" s="71">
        <f t="shared" si="5"/>
        <v>1.114777578</v>
      </c>
      <c r="R49" s="72" t="str">
        <f t="shared" si="6"/>
        <v>Coast FI/RE Achieved</v>
      </c>
      <c r="S49" s="1"/>
      <c r="T49" s="1"/>
      <c r="U49" s="1"/>
      <c r="V49" s="1"/>
      <c r="W49" s="1"/>
    </row>
    <row r="50" ht="15.75" customHeight="1">
      <c r="A50" s="74">
        <f t="shared" ref="A50:C50" si="37">A49+1</f>
        <v>62</v>
      </c>
      <c r="B50" s="54">
        <f t="shared" si="37"/>
        <v>2055</v>
      </c>
      <c r="C50" s="54">
        <f t="shared" si="37"/>
        <v>30</v>
      </c>
      <c r="D50" s="75">
        <f>D49*(1+'Traditional FIRE'!$H$5)</f>
        <v>294000</v>
      </c>
      <c r="E50" s="76">
        <f>D50*(1-'Traditional FIRE'!$H$7)/12</f>
        <v>16488.5</v>
      </c>
      <c r="F50" s="75">
        <f t="shared" si="8"/>
        <v>6353</v>
      </c>
      <c r="G50" s="68"/>
      <c r="H50" s="75">
        <f t="shared" si="9"/>
        <v>10135.5</v>
      </c>
      <c r="I50" s="78">
        <v>-7326.46</v>
      </c>
      <c r="J50" s="68"/>
      <c r="K50" s="75">
        <f t="shared" si="2"/>
        <v>76236</v>
      </c>
      <c r="L50" s="70">
        <f t="shared" si="3"/>
        <v>33708.48</v>
      </c>
      <c r="M50" s="75">
        <f t="shared" si="10"/>
        <v>2313266.35</v>
      </c>
      <c r="N50" s="75">
        <f>(M50)*(1+'Traditional FIRE'!$H$8)</f>
        <v>2403101.936</v>
      </c>
      <c r="O50" s="77">
        <f t="shared" si="4"/>
        <v>89835.58639</v>
      </c>
      <c r="P50" s="75">
        <f>N50*'Traditional FIRE'!$H$9</f>
        <v>72093.05808</v>
      </c>
      <c r="Q50" s="71">
        <f t="shared" si="5"/>
        <v>1.057466586</v>
      </c>
      <c r="R50" s="63" t="str">
        <f t="shared" si="6"/>
        <v>Coast FI/RE Achieved</v>
      </c>
      <c r="S50" s="1"/>
      <c r="T50" s="1"/>
      <c r="U50" s="1"/>
      <c r="V50" s="1"/>
      <c r="W50" s="1"/>
    </row>
    <row r="51" ht="15.75" customHeight="1">
      <c r="A51" s="74">
        <f t="shared" ref="A51:C51" si="38">A50+1</f>
        <v>63</v>
      </c>
      <c r="B51" s="65">
        <f t="shared" si="38"/>
        <v>2056</v>
      </c>
      <c r="C51" s="65">
        <f t="shared" si="38"/>
        <v>31</v>
      </c>
      <c r="D51" s="66">
        <f>D50*(1+'Traditional FIRE'!$H$5)</f>
        <v>294000</v>
      </c>
      <c r="E51" s="67">
        <f>D51*(1-'Traditional FIRE'!$H$7)/12</f>
        <v>16488.5</v>
      </c>
      <c r="F51" s="66">
        <f t="shared" si="8"/>
        <v>6353</v>
      </c>
      <c r="G51" s="68"/>
      <c r="H51" s="66">
        <f t="shared" si="9"/>
        <v>10135.5</v>
      </c>
      <c r="I51" s="78">
        <v>-7326.46</v>
      </c>
      <c r="J51" s="68"/>
      <c r="K51" s="66">
        <f t="shared" si="2"/>
        <v>76236</v>
      </c>
      <c r="L51" s="70">
        <f t="shared" si="3"/>
        <v>33708.48</v>
      </c>
      <c r="M51" s="66">
        <f t="shared" si="10"/>
        <v>2436810.416</v>
      </c>
      <c r="N51" s="66">
        <f>(M51)*(1+'Traditional FIRE'!$H$8)</f>
        <v>2531443.83</v>
      </c>
      <c r="O51" s="70">
        <f t="shared" si="4"/>
        <v>94633.41421</v>
      </c>
      <c r="P51" s="66">
        <f>N51*'Traditional FIRE'!$H$9</f>
        <v>75943.31491</v>
      </c>
      <c r="Q51" s="71">
        <f t="shared" si="5"/>
        <v>1.003853994</v>
      </c>
      <c r="R51" s="72" t="str">
        <f t="shared" si="6"/>
        <v>Coast FI/RE Achieved</v>
      </c>
      <c r="S51" s="1"/>
      <c r="T51" s="1"/>
      <c r="U51" s="1"/>
      <c r="V51" s="1"/>
      <c r="W51" s="1"/>
    </row>
    <row r="52" ht="15.75" customHeight="1">
      <c r="A52" s="74">
        <f t="shared" ref="A52:C52" si="39">A51+1</f>
        <v>64</v>
      </c>
      <c r="B52" s="54">
        <f t="shared" si="39"/>
        <v>2057</v>
      </c>
      <c r="C52" s="54">
        <f t="shared" si="39"/>
        <v>32</v>
      </c>
      <c r="D52" s="75">
        <f>D51*(1+'Traditional FIRE'!$H$5)</f>
        <v>294000</v>
      </c>
      <c r="E52" s="76">
        <f>D52*(1-'Traditional FIRE'!$H$7)/12</f>
        <v>16488.5</v>
      </c>
      <c r="F52" s="75">
        <f t="shared" si="8"/>
        <v>6353</v>
      </c>
      <c r="G52" s="68"/>
      <c r="H52" s="75">
        <f t="shared" si="9"/>
        <v>10135.5</v>
      </c>
      <c r="I52" s="78">
        <v>-7326.46</v>
      </c>
      <c r="J52" s="68"/>
      <c r="K52" s="75">
        <f t="shared" si="2"/>
        <v>76236</v>
      </c>
      <c r="L52" s="70">
        <f t="shared" si="3"/>
        <v>33708.48</v>
      </c>
      <c r="M52" s="75">
        <f t="shared" si="10"/>
        <v>2565152.31</v>
      </c>
      <c r="N52" s="75">
        <f>(M52)*(1+'Traditional FIRE'!$H$8)</f>
        <v>2664769.876</v>
      </c>
      <c r="O52" s="77">
        <f t="shared" si="4"/>
        <v>99617.56544</v>
      </c>
      <c r="P52" s="75">
        <f>N52*'Traditional FIRE'!$H$9</f>
        <v>79943.09627</v>
      </c>
      <c r="Q52" s="71">
        <f t="shared" si="5"/>
        <v>0.9536283126</v>
      </c>
      <c r="R52" s="63" t="str">
        <f t="shared" si="6"/>
        <v>Coast FI/RE Achieved</v>
      </c>
      <c r="S52" s="1"/>
      <c r="T52" s="1"/>
      <c r="U52" s="1"/>
      <c r="V52" s="1"/>
      <c r="W52" s="1"/>
    </row>
    <row r="53" ht="15.75" customHeight="1">
      <c r="A53" s="74">
        <f t="shared" ref="A53:C53" si="40">A52+1</f>
        <v>65</v>
      </c>
      <c r="B53" s="65">
        <f t="shared" si="40"/>
        <v>2058</v>
      </c>
      <c r="C53" s="65">
        <f t="shared" si="40"/>
        <v>33</v>
      </c>
      <c r="D53" s="66">
        <f>D52*(1+'Traditional FIRE'!$H$5)</f>
        <v>294000</v>
      </c>
      <c r="E53" s="67">
        <f>D53*(1-'Traditional FIRE'!$H$7)/12</f>
        <v>16488.5</v>
      </c>
      <c r="F53" s="66">
        <f t="shared" si="8"/>
        <v>6353</v>
      </c>
      <c r="G53" s="68"/>
      <c r="H53" s="66">
        <f t="shared" si="9"/>
        <v>10135.5</v>
      </c>
      <c r="I53" s="78">
        <v>-7326.46</v>
      </c>
      <c r="J53" s="68"/>
      <c r="K53" s="66">
        <f t="shared" si="2"/>
        <v>76236</v>
      </c>
      <c r="L53" s="70">
        <f t="shared" si="3"/>
        <v>33708.48</v>
      </c>
      <c r="M53" s="66">
        <f t="shared" si="10"/>
        <v>2698478.356</v>
      </c>
      <c r="N53" s="66">
        <f>(M53)*(1+'Traditional FIRE'!$H$8)</f>
        <v>2803273.632</v>
      </c>
      <c r="O53" s="70">
        <f t="shared" si="4"/>
        <v>104795.2759</v>
      </c>
      <c r="P53" s="66">
        <f>N53*'Traditional FIRE'!$H$9</f>
        <v>84098.20895</v>
      </c>
      <c r="Q53" s="71">
        <f t="shared" si="5"/>
        <v>0.9065115768</v>
      </c>
      <c r="R53" s="72" t="str">
        <f t="shared" si="6"/>
        <v>Coast FI/RE Achieved</v>
      </c>
      <c r="S53" s="1"/>
      <c r="T53" s="1"/>
      <c r="U53" s="1"/>
      <c r="V53" s="1"/>
      <c r="W53" s="1"/>
    </row>
    <row r="54" ht="15.75" customHeight="1">
      <c r="A54" s="74">
        <f t="shared" ref="A54:C54" si="41">A53+1</f>
        <v>66</v>
      </c>
      <c r="B54" s="54">
        <f t="shared" si="41"/>
        <v>2059</v>
      </c>
      <c r="C54" s="54">
        <f t="shared" si="41"/>
        <v>34</v>
      </c>
      <c r="D54" s="75">
        <f>D53*(1+'Traditional FIRE'!$H$5)</f>
        <v>294000</v>
      </c>
      <c r="E54" s="76">
        <f>D54*(1-'Traditional FIRE'!$H$7)/12</f>
        <v>16488.5</v>
      </c>
      <c r="F54" s="75">
        <f t="shared" si="8"/>
        <v>6353</v>
      </c>
      <c r="G54" s="68"/>
      <c r="H54" s="75">
        <f t="shared" si="9"/>
        <v>10135.5</v>
      </c>
      <c r="I54" s="78">
        <v>-7326.46</v>
      </c>
      <c r="J54" s="68"/>
      <c r="K54" s="75">
        <f t="shared" si="2"/>
        <v>76236</v>
      </c>
      <c r="L54" s="70">
        <f t="shared" si="3"/>
        <v>33708.48</v>
      </c>
      <c r="M54" s="75">
        <f t="shared" si="10"/>
        <v>2836982.112</v>
      </c>
      <c r="N54" s="75">
        <f>(M54)*(1+'Traditional FIRE'!$H$8)</f>
        <v>2947156.174</v>
      </c>
      <c r="O54" s="77">
        <f t="shared" si="4"/>
        <v>110174.0626</v>
      </c>
      <c r="P54" s="75">
        <f>N54*'Traditional FIRE'!$H$9</f>
        <v>88414.68522</v>
      </c>
      <c r="Q54" s="71">
        <f t="shared" si="5"/>
        <v>0.8622549501</v>
      </c>
      <c r="R54" s="63" t="str">
        <f t="shared" si="6"/>
        <v>Coast FI/RE Achieved</v>
      </c>
      <c r="S54" s="1"/>
      <c r="T54" s="1"/>
      <c r="U54" s="1"/>
      <c r="V54" s="1"/>
      <c r="W54" s="1"/>
    </row>
    <row r="55" ht="15.75" customHeight="1">
      <c r="A55" s="74">
        <f t="shared" ref="A55:C55" si="42">A54+1</f>
        <v>67</v>
      </c>
      <c r="B55" s="65">
        <f t="shared" si="42"/>
        <v>2060</v>
      </c>
      <c r="C55" s="65">
        <f t="shared" si="42"/>
        <v>35</v>
      </c>
      <c r="D55" s="66">
        <f>D54*(1+'Traditional FIRE'!$H$5)</f>
        <v>294000</v>
      </c>
      <c r="E55" s="67">
        <f>D55*(1-'Traditional FIRE'!$H$7)/12</f>
        <v>16488.5</v>
      </c>
      <c r="F55" s="66">
        <f t="shared" si="8"/>
        <v>6353</v>
      </c>
      <c r="G55" s="68"/>
      <c r="H55" s="66">
        <f t="shared" si="9"/>
        <v>10135.5</v>
      </c>
      <c r="I55" s="78">
        <v>-7326.46</v>
      </c>
      <c r="J55" s="68"/>
      <c r="K55" s="66">
        <f t="shared" si="2"/>
        <v>76236</v>
      </c>
      <c r="L55" s="70">
        <f t="shared" si="3"/>
        <v>33708.48</v>
      </c>
      <c r="M55" s="66">
        <f t="shared" si="10"/>
        <v>2980864.654</v>
      </c>
      <c r="N55" s="66">
        <f>(M55)*(1+'Traditional FIRE'!$H$8)</f>
        <v>3096626.388</v>
      </c>
      <c r="O55" s="70">
        <f t="shared" si="4"/>
        <v>115761.7341</v>
      </c>
      <c r="P55" s="66">
        <f>N55*'Traditional FIRE'!$H$9</f>
        <v>92898.79165</v>
      </c>
      <c r="Q55" s="71">
        <f t="shared" si="5"/>
        <v>0.8206350012</v>
      </c>
      <c r="R55" s="72" t="str">
        <f t="shared" si="6"/>
        <v>Coast FI/RE Achieved</v>
      </c>
      <c r="S55" s="1"/>
      <c r="T55" s="1"/>
      <c r="U55" s="1"/>
      <c r="V55" s="1"/>
      <c r="W55" s="1"/>
    </row>
    <row r="56" ht="15.75" customHeight="1">
      <c r="A56" s="74">
        <f t="shared" ref="A56:C56" si="43">A55+1</f>
        <v>68</v>
      </c>
      <c r="B56" s="54">
        <f t="shared" si="43"/>
        <v>2061</v>
      </c>
      <c r="C56" s="54">
        <f t="shared" si="43"/>
        <v>36</v>
      </c>
      <c r="D56" s="75">
        <f>D55*(1+'Traditional FIRE'!$H$5)</f>
        <v>294000</v>
      </c>
      <c r="E56" s="76">
        <f>D56*(1-'Traditional FIRE'!$H$7)/12</f>
        <v>16488.5</v>
      </c>
      <c r="F56" s="75">
        <f t="shared" si="8"/>
        <v>6353</v>
      </c>
      <c r="G56" s="68"/>
      <c r="H56" s="75">
        <f t="shared" si="9"/>
        <v>10135.5</v>
      </c>
      <c r="I56" s="78">
        <v>-7326.46</v>
      </c>
      <c r="J56" s="68"/>
      <c r="K56" s="75">
        <f t="shared" si="2"/>
        <v>76236</v>
      </c>
      <c r="L56" s="70">
        <f t="shared" si="3"/>
        <v>33708.48</v>
      </c>
      <c r="M56" s="75">
        <f t="shared" si="10"/>
        <v>3130334.868</v>
      </c>
      <c r="N56" s="75">
        <f>(M56)*(1+'Traditional FIRE'!$H$8)</f>
        <v>3251901.271</v>
      </c>
      <c r="O56" s="77">
        <f t="shared" si="4"/>
        <v>121566.4027</v>
      </c>
      <c r="P56" s="75">
        <f>N56*'Traditional FIRE'!$H$9</f>
        <v>97557.03813</v>
      </c>
      <c r="Q56" s="71">
        <f t="shared" si="5"/>
        <v>0.7814505387</v>
      </c>
      <c r="R56" s="63" t="str">
        <f t="shared" si="6"/>
        <v>FI/RE</v>
      </c>
      <c r="S56" s="1"/>
      <c r="T56" s="1"/>
      <c r="U56" s="1"/>
      <c r="V56" s="1"/>
      <c r="W56" s="1"/>
    </row>
    <row r="57" ht="15.75" customHeight="1">
      <c r="A57" s="74">
        <f t="shared" ref="A57:B57" si="44">A56+1</f>
        <v>69</v>
      </c>
      <c r="B57" s="65">
        <f t="shared" si="44"/>
        <v>2062</v>
      </c>
      <c r="C57" s="65">
        <f>C55+1</f>
        <v>36</v>
      </c>
      <c r="D57" s="66">
        <f>D55*(1+'Traditional FIRE'!$H$5)</f>
        <v>294000</v>
      </c>
      <c r="E57" s="67">
        <f>D57*(1-'Traditional FIRE'!$H$7)/12</f>
        <v>16488.5</v>
      </c>
      <c r="F57" s="66">
        <f t="shared" si="8"/>
        <v>6353</v>
      </c>
      <c r="G57" s="68"/>
      <c r="H57" s="66">
        <f t="shared" si="9"/>
        <v>10135.5</v>
      </c>
      <c r="I57" s="78">
        <v>-7326.46</v>
      </c>
      <c r="J57" s="68"/>
      <c r="K57" s="66">
        <f t="shared" si="2"/>
        <v>76236</v>
      </c>
      <c r="L57" s="70">
        <f t="shared" si="3"/>
        <v>33708.48</v>
      </c>
      <c r="M57" s="66">
        <f t="shared" si="10"/>
        <v>3285609.751</v>
      </c>
      <c r="N57" s="66">
        <f>(M57)*(1+'Traditional FIRE'!$H$8)</f>
        <v>3413206.246</v>
      </c>
      <c r="O57" s="70">
        <f t="shared" si="4"/>
        <v>127596.4952</v>
      </c>
      <c r="P57" s="66">
        <f>N57*'Traditional FIRE'!$H$9</f>
        <v>102396.1874</v>
      </c>
      <c r="Q57" s="71">
        <f t="shared" si="5"/>
        <v>0.7445199079</v>
      </c>
      <c r="R57" s="72" t="str">
        <f t="shared" si="6"/>
        <v>FI/RE</v>
      </c>
      <c r="S57" s="1"/>
      <c r="T57" s="1"/>
      <c r="U57" s="1"/>
      <c r="V57" s="1"/>
      <c r="W57" s="1"/>
    </row>
    <row r="58" ht="15.75" customHeight="1">
      <c r="A58" s="74">
        <f t="shared" ref="A58:C58" si="45">A57+1</f>
        <v>70</v>
      </c>
      <c r="B58" s="54">
        <f t="shared" si="45"/>
        <v>2063</v>
      </c>
      <c r="C58" s="54">
        <f t="shared" si="45"/>
        <v>37</v>
      </c>
      <c r="D58" s="75">
        <f>D57*(1+'Traditional FIRE'!$H$5)</f>
        <v>294000</v>
      </c>
      <c r="E58" s="76">
        <f>D58*(1-'Traditional FIRE'!$H$7)/12</f>
        <v>16488.5</v>
      </c>
      <c r="F58" s="75">
        <f t="shared" si="8"/>
        <v>6353</v>
      </c>
      <c r="G58" s="68"/>
      <c r="H58" s="75">
        <f t="shared" si="9"/>
        <v>10135.5</v>
      </c>
      <c r="I58" s="78">
        <v>-7326.46</v>
      </c>
      <c r="J58" s="68"/>
      <c r="K58" s="75">
        <f t="shared" si="2"/>
        <v>76236</v>
      </c>
      <c r="L58" s="70">
        <f t="shared" si="3"/>
        <v>33708.48</v>
      </c>
      <c r="M58" s="75">
        <f t="shared" si="10"/>
        <v>3446914.726</v>
      </c>
      <c r="N58" s="75">
        <f>(M58)*(1+'Traditional FIRE'!$H$8)</f>
        <v>3580775.492</v>
      </c>
      <c r="O58" s="77">
        <f t="shared" si="4"/>
        <v>133860.7661</v>
      </c>
      <c r="P58" s="75">
        <f>N58*'Traditional FIRE'!$H$9</f>
        <v>107423.2648</v>
      </c>
      <c r="Q58" s="71">
        <f t="shared" si="5"/>
        <v>0.7096786731</v>
      </c>
      <c r="R58" s="63" t="str">
        <f t="shared" si="6"/>
        <v>FI/RE</v>
      </c>
      <c r="S58" s="1"/>
      <c r="T58" s="1"/>
      <c r="U58" s="1"/>
      <c r="V58" s="1"/>
      <c r="W58" s="1"/>
    </row>
    <row r="59" ht="15.75" customHeight="1">
      <c r="A59" s="74">
        <f t="shared" ref="A59:C59" si="46">A58+1</f>
        <v>71</v>
      </c>
      <c r="B59" s="65">
        <f t="shared" si="46"/>
        <v>2064</v>
      </c>
      <c r="C59" s="65">
        <f t="shared" si="46"/>
        <v>38</v>
      </c>
      <c r="D59" s="66">
        <f>D58*(1+'Traditional FIRE'!$H$5)</f>
        <v>294000</v>
      </c>
      <c r="E59" s="67">
        <f>D59*(1-'Traditional FIRE'!$H$7)/12</f>
        <v>16488.5</v>
      </c>
      <c r="F59" s="66">
        <f t="shared" si="8"/>
        <v>6353</v>
      </c>
      <c r="G59" s="68"/>
      <c r="H59" s="66">
        <f t="shared" si="9"/>
        <v>10135.5</v>
      </c>
      <c r="I59" s="78">
        <v>-7326.46</v>
      </c>
      <c r="J59" s="68"/>
      <c r="K59" s="66">
        <f t="shared" si="2"/>
        <v>76236</v>
      </c>
      <c r="L59" s="70">
        <f t="shared" si="3"/>
        <v>33708.48</v>
      </c>
      <c r="M59" s="66">
        <f t="shared" si="10"/>
        <v>3614483.972</v>
      </c>
      <c r="N59" s="66">
        <f>(M59)*(1+'Traditional FIRE'!$H$8)</f>
        <v>3754852.282</v>
      </c>
      <c r="O59" s="70">
        <f t="shared" si="4"/>
        <v>140368.3096</v>
      </c>
      <c r="P59" s="66">
        <f>N59*'Traditional FIRE'!$H$9</f>
        <v>112645.5685</v>
      </c>
      <c r="Q59" s="71">
        <f t="shared" si="5"/>
        <v>0.6767776225</v>
      </c>
      <c r="R59" s="72" t="str">
        <f t="shared" si="6"/>
        <v>FI/RE</v>
      </c>
      <c r="S59" s="1"/>
      <c r="T59" s="1"/>
      <c r="U59" s="1"/>
      <c r="V59" s="1"/>
      <c r="W59" s="1"/>
    </row>
    <row r="60" ht="15.75" customHeight="1">
      <c r="A60" s="74">
        <f t="shared" ref="A60:C60" si="47">A59+1</f>
        <v>72</v>
      </c>
      <c r="B60" s="54">
        <f t="shared" si="47"/>
        <v>2065</v>
      </c>
      <c r="C60" s="54">
        <f t="shared" si="47"/>
        <v>39</v>
      </c>
      <c r="D60" s="75">
        <f>D59*(1+'Traditional FIRE'!$H$5)</f>
        <v>294000</v>
      </c>
      <c r="E60" s="76">
        <f>D60*(1-'Traditional FIRE'!$H$7)/12</f>
        <v>16488.5</v>
      </c>
      <c r="F60" s="75">
        <f t="shared" si="8"/>
        <v>6353</v>
      </c>
      <c r="G60" s="68"/>
      <c r="H60" s="75">
        <f t="shared" si="9"/>
        <v>10135.5</v>
      </c>
      <c r="I60" s="78">
        <v>-7326.46</v>
      </c>
      <c r="J60" s="68"/>
      <c r="K60" s="75">
        <f t="shared" si="2"/>
        <v>76236</v>
      </c>
      <c r="L60" s="70">
        <f t="shared" si="3"/>
        <v>33708.48</v>
      </c>
      <c r="M60" s="75">
        <f t="shared" si="10"/>
        <v>3788560.762</v>
      </c>
      <c r="N60" s="75">
        <f>(M60)*(1+'Traditional FIRE'!$H$8)</f>
        <v>3935689.335</v>
      </c>
      <c r="O60" s="77">
        <f t="shared" si="4"/>
        <v>147128.5733</v>
      </c>
      <c r="P60" s="75">
        <f>N60*'Traditional FIRE'!$H$9</f>
        <v>118070.6801</v>
      </c>
      <c r="Q60" s="71">
        <f t="shared" si="5"/>
        <v>0.6456810443</v>
      </c>
      <c r="R60" s="63" t="str">
        <f t="shared" si="6"/>
        <v>FI/RE</v>
      </c>
      <c r="S60" s="1"/>
      <c r="T60" s="1"/>
      <c r="U60" s="1"/>
      <c r="V60" s="1"/>
      <c r="W60" s="1"/>
    </row>
    <row r="61" ht="15.75" customHeight="1">
      <c r="A61" s="74">
        <f t="shared" ref="A61:C61" si="48">A60+1</f>
        <v>73</v>
      </c>
      <c r="B61" s="65">
        <f t="shared" si="48"/>
        <v>2066</v>
      </c>
      <c r="C61" s="65">
        <f t="shared" si="48"/>
        <v>40</v>
      </c>
      <c r="D61" s="66">
        <f>D60*(1+'Traditional FIRE'!$H$5)</f>
        <v>294000</v>
      </c>
      <c r="E61" s="67">
        <f>D61*(1-'Traditional FIRE'!$H$7)/12</f>
        <v>16488.5</v>
      </c>
      <c r="F61" s="66">
        <f t="shared" si="8"/>
        <v>6353</v>
      </c>
      <c r="G61" s="68"/>
      <c r="H61" s="66">
        <f t="shared" si="9"/>
        <v>10135.5</v>
      </c>
      <c r="I61" s="78">
        <v>-7326.46</v>
      </c>
      <c r="J61" s="68"/>
      <c r="K61" s="66">
        <f t="shared" si="2"/>
        <v>76236</v>
      </c>
      <c r="L61" s="70">
        <f t="shared" si="3"/>
        <v>33708.48</v>
      </c>
      <c r="M61" s="66">
        <f t="shared" si="10"/>
        <v>3969397.815</v>
      </c>
      <c r="N61" s="66">
        <f>(M61)*(1+'Traditional FIRE'!$H$8)</f>
        <v>4123549.187</v>
      </c>
      <c r="O61" s="70">
        <f t="shared" si="4"/>
        <v>154151.3715</v>
      </c>
      <c r="P61" s="66">
        <f>N61*'Traditional FIRE'!$H$9</f>
        <v>123706.4756</v>
      </c>
      <c r="Q61" s="71">
        <f t="shared" si="5"/>
        <v>0.6162652329</v>
      </c>
      <c r="R61" s="72" t="str">
        <f t="shared" si="6"/>
        <v>FI/RE</v>
      </c>
      <c r="S61" s="1"/>
      <c r="T61" s="1"/>
      <c r="U61" s="1"/>
      <c r="V61" s="1"/>
      <c r="W61" s="1"/>
    </row>
    <row r="62" ht="15.75" customHeight="1">
      <c r="A62" s="74">
        <f t="shared" ref="A62:C62" si="49">A61+1</f>
        <v>74</v>
      </c>
      <c r="B62" s="54">
        <f t="shared" si="49"/>
        <v>2067</v>
      </c>
      <c r="C62" s="54">
        <f t="shared" si="49"/>
        <v>41</v>
      </c>
      <c r="D62" s="75">
        <f>D61*(1+'Traditional FIRE'!$H$5)</f>
        <v>294000</v>
      </c>
      <c r="E62" s="76">
        <f>D62*(1-'Traditional FIRE'!$H$7)/12</f>
        <v>16488.5</v>
      </c>
      <c r="F62" s="75">
        <f t="shared" si="8"/>
        <v>6353</v>
      </c>
      <c r="G62" s="68"/>
      <c r="H62" s="75">
        <f t="shared" si="9"/>
        <v>10135.5</v>
      </c>
      <c r="I62" s="78">
        <v>-7326.46</v>
      </c>
      <c r="J62" s="68"/>
      <c r="K62" s="75">
        <f t="shared" si="2"/>
        <v>76236</v>
      </c>
      <c r="L62" s="70">
        <f t="shared" si="3"/>
        <v>33708.48</v>
      </c>
      <c r="M62" s="75">
        <f t="shared" si="10"/>
        <v>4157257.667</v>
      </c>
      <c r="N62" s="75">
        <f>(M62)*(1+'Traditional FIRE'!$H$8)</f>
        <v>4318704.566</v>
      </c>
      <c r="O62" s="77">
        <f t="shared" si="4"/>
        <v>161446.8997</v>
      </c>
      <c r="P62" s="75">
        <f>N62*'Traditional FIRE'!$H$9</f>
        <v>129561.137</v>
      </c>
      <c r="Q62" s="71">
        <f t="shared" si="5"/>
        <v>0.5884171888</v>
      </c>
      <c r="R62" s="63" t="str">
        <f t="shared" si="6"/>
        <v>FI/RE</v>
      </c>
      <c r="S62" s="1"/>
      <c r="T62" s="1"/>
      <c r="U62" s="1"/>
      <c r="V62" s="1"/>
      <c r="W62" s="1"/>
    </row>
    <row r="63" ht="15.75" customHeight="1">
      <c r="A63" s="74">
        <f t="shared" ref="A63:C63" si="50">A62+1</f>
        <v>75</v>
      </c>
      <c r="B63" s="65">
        <f t="shared" si="50"/>
        <v>2068</v>
      </c>
      <c r="C63" s="65">
        <f t="shared" si="50"/>
        <v>42</v>
      </c>
      <c r="D63" s="66">
        <f>D62*(1+'Traditional FIRE'!$H$5)</f>
        <v>294000</v>
      </c>
      <c r="E63" s="67">
        <f>D63*(1-'Traditional FIRE'!$H$7)/12</f>
        <v>16488.5</v>
      </c>
      <c r="F63" s="66">
        <f t="shared" si="8"/>
        <v>6353</v>
      </c>
      <c r="G63" s="68"/>
      <c r="H63" s="66">
        <f t="shared" si="9"/>
        <v>10135.5</v>
      </c>
      <c r="I63" s="78">
        <v>-7326.46</v>
      </c>
      <c r="J63" s="68"/>
      <c r="K63" s="66">
        <f t="shared" si="2"/>
        <v>76236</v>
      </c>
      <c r="L63" s="70">
        <f t="shared" si="3"/>
        <v>33708.48</v>
      </c>
      <c r="M63" s="66">
        <f t="shared" si="10"/>
        <v>4352413.046</v>
      </c>
      <c r="N63" s="66">
        <f>(M63)*(1+'Traditional FIRE'!$H$8)</f>
        <v>4521438.796</v>
      </c>
      <c r="O63" s="70">
        <f t="shared" si="4"/>
        <v>169025.7494</v>
      </c>
      <c r="P63" s="66">
        <f>N63*'Traditional FIRE'!$H$9</f>
        <v>135643.1639</v>
      </c>
      <c r="Q63" s="71">
        <f t="shared" si="5"/>
        <v>0.5620334842</v>
      </c>
      <c r="R63" s="72" t="str">
        <f t="shared" si="6"/>
        <v>FI/RE</v>
      </c>
      <c r="S63" s="1"/>
      <c r="T63" s="1"/>
      <c r="U63" s="1"/>
      <c r="V63" s="1"/>
      <c r="W63" s="1"/>
    </row>
    <row r="64" ht="15.75" customHeight="1">
      <c r="A64" s="74">
        <f t="shared" ref="A64:C64" si="51">A63+1</f>
        <v>76</v>
      </c>
      <c r="B64" s="54">
        <f t="shared" si="51"/>
        <v>2069</v>
      </c>
      <c r="C64" s="54">
        <f t="shared" si="51"/>
        <v>43</v>
      </c>
      <c r="D64" s="75">
        <f>D63*(1+'Traditional FIRE'!$H$5)</f>
        <v>294000</v>
      </c>
      <c r="E64" s="76">
        <f>D64*(1-'Traditional FIRE'!$H$7)/12</f>
        <v>16488.5</v>
      </c>
      <c r="F64" s="75">
        <f t="shared" si="8"/>
        <v>6353</v>
      </c>
      <c r="G64" s="68"/>
      <c r="H64" s="75">
        <f t="shared" si="9"/>
        <v>10135.5</v>
      </c>
      <c r="I64" s="78">
        <v>-7326.46</v>
      </c>
      <c r="J64" s="68"/>
      <c r="K64" s="75">
        <f t="shared" si="2"/>
        <v>76236</v>
      </c>
      <c r="L64" s="70">
        <f t="shared" si="3"/>
        <v>33708.48</v>
      </c>
      <c r="M64" s="75">
        <f t="shared" si="10"/>
        <v>4555147.276</v>
      </c>
      <c r="N64" s="75">
        <f>(M64)*(1+'Traditional FIRE'!$H$8)</f>
        <v>4732046.199</v>
      </c>
      <c r="O64" s="77">
        <f t="shared" si="4"/>
        <v>176898.9233</v>
      </c>
      <c r="P64" s="75">
        <f>N64*'Traditional FIRE'!$H$9</f>
        <v>141961.386</v>
      </c>
      <c r="Q64" s="71">
        <f t="shared" si="5"/>
        <v>0.537019271</v>
      </c>
      <c r="R64" s="63" t="str">
        <f t="shared" si="6"/>
        <v>FI/RE</v>
      </c>
      <c r="S64" s="1"/>
      <c r="T64" s="1"/>
      <c r="U64" s="1"/>
      <c r="V64" s="1"/>
      <c r="W64" s="1"/>
    </row>
    <row r="65" ht="15.75" customHeight="1">
      <c r="A65" s="74">
        <f t="shared" ref="A65:C65" si="52">A64+1</f>
        <v>77</v>
      </c>
      <c r="B65" s="65">
        <f t="shared" si="52"/>
        <v>2070</v>
      </c>
      <c r="C65" s="65">
        <f t="shared" si="52"/>
        <v>44</v>
      </c>
      <c r="D65" s="66">
        <f>D64*(1+'Traditional FIRE'!$H$5)</f>
        <v>294000</v>
      </c>
      <c r="E65" s="67">
        <f>D65*(1-'Traditional FIRE'!$H$7)/12</f>
        <v>16488.5</v>
      </c>
      <c r="F65" s="66">
        <f t="shared" si="8"/>
        <v>6353</v>
      </c>
      <c r="G65" s="68"/>
      <c r="H65" s="66">
        <f t="shared" si="9"/>
        <v>10135.5</v>
      </c>
      <c r="I65" s="78">
        <v>-7326.46</v>
      </c>
      <c r="J65" s="68"/>
      <c r="K65" s="66">
        <f t="shared" si="2"/>
        <v>76236</v>
      </c>
      <c r="L65" s="70">
        <f t="shared" si="3"/>
        <v>33708.48</v>
      </c>
      <c r="M65" s="66">
        <f t="shared" si="10"/>
        <v>4765754.679</v>
      </c>
      <c r="N65" s="66">
        <f>(M65)*(1+'Traditional FIRE'!$H$8)</f>
        <v>4950832.531</v>
      </c>
      <c r="O65" s="70">
        <f t="shared" si="4"/>
        <v>185077.8516</v>
      </c>
      <c r="P65" s="66">
        <f>N65*'Traditional FIRE'!$H$9</f>
        <v>148524.9759</v>
      </c>
      <c r="Q65" s="71">
        <f t="shared" si="5"/>
        <v>0.5132874086</v>
      </c>
      <c r="R65" s="72" t="str">
        <f t="shared" si="6"/>
        <v>FI/RE</v>
      </c>
      <c r="S65" s="1"/>
      <c r="T65" s="1"/>
      <c r="U65" s="1"/>
      <c r="V65" s="1"/>
      <c r="W65" s="1"/>
    </row>
    <row r="66" ht="15.75" customHeight="1">
      <c r="A66" s="74">
        <f t="shared" ref="A66:C66" si="53">A65+1</f>
        <v>78</v>
      </c>
      <c r="B66" s="54">
        <f t="shared" si="53"/>
        <v>2071</v>
      </c>
      <c r="C66" s="54">
        <f t="shared" si="53"/>
        <v>45</v>
      </c>
      <c r="D66" s="75">
        <f>D65*(1+'Traditional FIRE'!$H$5)</f>
        <v>294000</v>
      </c>
      <c r="E66" s="76">
        <f>D66*(1-'Traditional FIRE'!$H$7)/12</f>
        <v>16488.5</v>
      </c>
      <c r="F66" s="75">
        <f t="shared" si="8"/>
        <v>6353</v>
      </c>
      <c r="G66" s="68"/>
      <c r="H66" s="75">
        <f t="shared" si="9"/>
        <v>10135.5</v>
      </c>
      <c r="I66" s="69"/>
      <c r="J66" s="68"/>
      <c r="K66" s="75">
        <f t="shared" si="2"/>
        <v>76236</v>
      </c>
      <c r="L66" s="70">
        <f t="shared" si="3"/>
        <v>121626</v>
      </c>
      <c r="M66" s="75">
        <f t="shared" si="10"/>
        <v>5072458.531</v>
      </c>
      <c r="N66" s="75">
        <f>(M66)*(1+'Traditional FIRE'!$H$8)</f>
        <v>5269447.211</v>
      </c>
      <c r="O66" s="77">
        <f t="shared" si="4"/>
        <v>196988.6808</v>
      </c>
      <c r="P66" s="75">
        <f>N66*'Traditional FIRE'!$H$9</f>
        <v>158083.4163</v>
      </c>
      <c r="Q66" s="71">
        <f t="shared" si="5"/>
        <v>0.4822517236</v>
      </c>
      <c r="R66" s="63" t="str">
        <f t="shared" si="6"/>
        <v>FI/RE</v>
      </c>
      <c r="S66" s="1"/>
      <c r="T66" s="1"/>
      <c r="U66" s="1"/>
      <c r="V66" s="1"/>
      <c r="W66" s="1"/>
    </row>
    <row r="67" ht="15.75" customHeight="1">
      <c r="A67" s="79">
        <f t="shared" ref="A67:C67" si="54">A66+1</f>
        <v>79</v>
      </c>
      <c r="B67" s="80">
        <f t="shared" si="54"/>
        <v>2072</v>
      </c>
      <c r="C67" s="80">
        <f t="shared" si="54"/>
        <v>46</v>
      </c>
      <c r="D67" s="81">
        <f>D66*(1+'Traditional FIRE'!$H$5)</f>
        <v>294000</v>
      </c>
      <c r="E67" s="82">
        <f>D67*(1-'Traditional FIRE'!$H$7)/12</f>
        <v>16488.5</v>
      </c>
      <c r="F67" s="81">
        <f t="shared" si="8"/>
        <v>6353</v>
      </c>
      <c r="G67" s="83"/>
      <c r="H67" s="81">
        <f t="shared" si="9"/>
        <v>10135.5</v>
      </c>
      <c r="I67" s="84"/>
      <c r="J67" s="83"/>
      <c r="K67" s="81">
        <f t="shared" si="2"/>
        <v>76236</v>
      </c>
      <c r="L67" s="85">
        <f t="shared" si="3"/>
        <v>121626</v>
      </c>
      <c r="M67" s="81">
        <f t="shared" si="10"/>
        <v>5391073.211</v>
      </c>
      <c r="N67" s="81">
        <f>(M67)*(1+'Traditional FIRE'!$H$8)</f>
        <v>5600435.278</v>
      </c>
      <c r="O67" s="85">
        <f t="shared" si="4"/>
        <v>209362.0665</v>
      </c>
      <c r="P67" s="81">
        <f>N67*'Traditional FIRE'!$H$9</f>
        <v>168013.0583</v>
      </c>
      <c r="Q67" s="86">
        <f t="shared" si="5"/>
        <v>0.4537504451</v>
      </c>
      <c r="R67" s="87" t="str">
        <f t="shared" si="6"/>
        <v>FI/RE</v>
      </c>
      <c r="S67" s="1"/>
      <c r="T67" s="1"/>
      <c r="U67" s="1"/>
      <c r="V67" s="1"/>
      <c r="W67" s="1"/>
    </row>
    <row r="68" ht="15.75" customHeight="1">
      <c r="A68" s="1"/>
      <c r="B68" s="54"/>
      <c r="C68" s="5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62"/>
      <c r="P68" s="62"/>
      <c r="Q68" s="1"/>
      <c r="R68" s="1"/>
      <c r="S68" s="1"/>
      <c r="T68" s="1"/>
      <c r="U68" s="1"/>
      <c r="V68" s="1"/>
      <c r="W68" s="1"/>
    </row>
    <row r="69" ht="15.75" customHeight="1">
      <c r="A69" s="1"/>
      <c r="B69" s="54"/>
      <c r="C69" s="5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62"/>
      <c r="P69" s="62"/>
      <c r="Q69" s="1"/>
      <c r="R69" s="1"/>
      <c r="S69" s="1"/>
      <c r="T69" s="1"/>
      <c r="U69" s="1"/>
      <c r="V69" s="1"/>
      <c r="W69" s="1"/>
    </row>
    <row r="70" ht="15.75" customHeight="1">
      <c r="A70" s="1"/>
      <c r="B70" s="54"/>
      <c r="C70" s="5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62"/>
      <c r="P70" s="62"/>
      <c r="Q70" s="1"/>
      <c r="R70" s="1"/>
      <c r="S70" s="1"/>
      <c r="T70" s="1"/>
      <c r="U70" s="1"/>
      <c r="V70" s="1"/>
      <c r="W70" s="1"/>
    </row>
    <row r="71" ht="15.75" customHeight="1">
      <c r="A71" s="1"/>
      <c r="B71" s="54"/>
      <c r="C71" s="5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62"/>
      <c r="P71" s="62"/>
      <c r="Q71" s="1"/>
      <c r="R71" s="1"/>
      <c r="S71" s="1"/>
      <c r="T71" s="1"/>
      <c r="U71" s="1"/>
      <c r="V71" s="1"/>
      <c r="W71" s="1"/>
    </row>
    <row r="72" ht="15.75" customHeight="1">
      <c r="A72" s="1"/>
      <c r="B72" s="54"/>
      <c r="C72" s="5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62"/>
      <c r="P72" s="62"/>
      <c r="Q72" s="1"/>
      <c r="R72" s="1"/>
      <c r="S72" s="1"/>
      <c r="T72" s="1"/>
      <c r="U72" s="1"/>
      <c r="V72" s="1"/>
      <c r="W72" s="1"/>
    </row>
    <row r="73" ht="15.75" customHeight="1">
      <c r="A73" s="1"/>
      <c r="B73" s="54"/>
      <c r="C73" s="5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62"/>
      <c r="P73" s="62"/>
      <c r="Q73" s="1"/>
      <c r="R73" s="1"/>
      <c r="S73" s="1"/>
      <c r="T73" s="1"/>
      <c r="U73" s="1"/>
      <c r="V73" s="1"/>
      <c r="W73" s="1"/>
    </row>
    <row r="74" ht="15.75" customHeight="1">
      <c r="A74" s="1"/>
      <c r="B74" s="54"/>
      <c r="C74" s="5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62"/>
      <c r="P74" s="62"/>
      <c r="Q74" s="1"/>
      <c r="R74" s="1"/>
      <c r="S74" s="1"/>
      <c r="T74" s="1"/>
      <c r="U74" s="1"/>
      <c r="V74" s="1"/>
      <c r="W74" s="1"/>
    </row>
    <row r="75" ht="15.75" customHeight="1">
      <c r="A75" s="1"/>
      <c r="B75" s="54"/>
      <c r="C75" s="5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62"/>
      <c r="P75" s="62"/>
      <c r="Q75" s="1"/>
      <c r="R75" s="1"/>
      <c r="S75" s="1"/>
      <c r="T75" s="1"/>
      <c r="U75" s="1"/>
      <c r="V75" s="1"/>
      <c r="W75" s="1"/>
    </row>
    <row r="76" ht="15.75" customHeight="1">
      <c r="A76" s="1"/>
      <c r="B76" s="54"/>
      <c r="C76" s="5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62"/>
      <c r="P76" s="62"/>
      <c r="Q76" s="1"/>
      <c r="R76" s="1"/>
      <c r="S76" s="1"/>
      <c r="T76" s="1"/>
      <c r="U76" s="1"/>
      <c r="V76" s="1"/>
      <c r="W76" s="1"/>
    </row>
    <row r="77" ht="15.75" customHeight="1">
      <c r="A77" s="1"/>
      <c r="B77" s="54"/>
      <c r="C77" s="5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62"/>
      <c r="P77" s="62"/>
      <c r="Q77" s="1"/>
      <c r="R77" s="1"/>
      <c r="S77" s="1"/>
      <c r="T77" s="1"/>
      <c r="U77" s="1"/>
      <c r="V77" s="1"/>
      <c r="W77" s="1"/>
    </row>
    <row r="78" ht="15.75" customHeight="1">
      <c r="A78" s="1"/>
      <c r="B78" s="54"/>
      <c r="C78" s="5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62"/>
      <c r="P78" s="62"/>
      <c r="Q78" s="1"/>
      <c r="R78" s="1"/>
      <c r="S78" s="1"/>
      <c r="T78" s="1"/>
      <c r="U78" s="1"/>
      <c r="V78" s="1"/>
      <c r="W78" s="1"/>
    </row>
    <row r="79" ht="15.75" customHeight="1">
      <c r="A79" s="1"/>
      <c r="B79" s="54"/>
      <c r="C79" s="5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62"/>
      <c r="P79" s="62"/>
      <c r="Q79" s="1"/>
      <c r="R79" s="1"/>
      <c r="S79" s="1"/>
      <c r="T79" s="1"/>
      <c r="U79" s="1"/>
      <c r="V79" s="1"/>
      <c r="W79" s="1"/>
    </row>
    <row r="80" ht="15.75" customHeight="1">
      <c r="A80" s="1"/>
      <c r="B80" s="54"/>
      <c r="C80" s="5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62"/>
      <c r="P80" s="62"/>
      <c r="Q80" s="1"/>
      <c r="R80" s="1"/>
      <c r="S80" s="1"/>
      <c r="T80" s="1"/>
      <c r="U80" s="1"/>
      <c r="V80" s="1"/>
      <c r="W80" s="1"/>
    </row>
    <row r="81" ht="15.75" customHeight="1">
      <c r="A81" s="1"/>
      <c r="B81" s="54"/>
      <c r="C81" s="5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62"/>
      <c r="P81" s="62"/>
      <c r="Q81" s="1"/>
      <c r="R81" s="1"/>
      <c r="S81" s="1"/>
      <c r="T81" s="1"/>
      <c r="U81" s="1"/>
      <c r="V81" s="1"/>
      <c r="W81" s="1"/>
    </row>
    <row r="82" ht="15.75" customHeight="1">
      <c r="A82" s="1"/>
      <c r="B82" s="54"/>
      <c r="C82" s="5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62"/>
      <c r="P82" s="62"/>
      <c r="Q82" s="1"/>
      <c r="R82" s="1"/>
      <c r="S82" s="1"/>
      <c r="T82" s="1"/>
      <c r="U82" s="1"/>
      <c r="V82" s="1"/>
      <c r="W82" s="1"/>
    </row>
    <row r="83" ht="15.75" customHeight="1">
      <c r="A83" s="1"/>
      <c r="B83" s="54"/>
      <c r="C83" s="5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62"/>
      <c r="P83" s="62"/>
      <c r="Q83" s="1"/>
      <c r="R83" s="1"/>
      <c r="S83" s="1"/>
      <c r="T83" s="1"/>
      <c r="U83" s="1"/>
      <c r="V83" s="1"/>
      <c r="W83" s="1"/>
    </row>
    <row r="84" ht="15.75" customHeight="1">
      <c r="A84" s="1"/>
      <c r="B84" s="54"/>
      <c r="C84" s="5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62"/>
      <c r="P84" s="62"/>
      <c r="Q84" s="1"/>
      <c r="R84" s="1"/>
      <c r="S84" s="1"/>
      <c r="T84" s="1"/>
      <c r="U84" s="1"/>
      <c r="V84" s="1"/>
      <c r="W84" s="1"/>
    </row>
    <row r="85" ht="15.75" customHeight="1">
      <c r="A85" s="1"/>
      <c r="B85" s="54"/>
      <c r="C85" s="5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62"/>
      <c r="P85" s="62"/>
      <c r="Q85" s="1"/>
      <c r="R85" s="1"/>
      <c r="S85" s="1"/>
      <c r="T85" s="1"/>
      <c r="U85" s="1"/>
      <c r="V85" s="1"/>
      <c r="W85" s="1"/>
    </row>
    <row r="86" ht="15.75" customHeight="1">
      <c r="A86" s="1"/>
      <c r="B86" s="54"/>
      <c r="C86" s="5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62"/>
      <c r="P86" s="62"/>
      <c r="Q86" s="1"/>
      <c r="R86" s="1"/>
      <c r="S86" s="1"/>
      <c r="T86" s="1"/>
      <c r="U86" s="1"/>
      <c r="V86" s="1"/>
      <c r="W86" s="1"/>
    </row>
    <row r="87" ht="15.75" customHeight="1">
      <c r="A87" s="1"/>
      <c r="B87" s="54"/>
      <c r="C87" s="5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62"/>
      <c r="P87" s="62"/>
      <c r="Q87" s="1"/>
      <c r="R87" s="1"/>
      <c r="S87" s="1"/>
      <c r="T87" s="1"/>
      <c r="U87" s="1"/>
      <c r="V87" s="1"/>
      <c r="W87" s="1"/>
    </row>
    <row r="88" ht="15.75" customHeight="1">
      <c r="A88" s="1"/>
      <c r="B88" s="54"/>
      <c r="C88" s="5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62"/>
      <c r="P88" s="62"/>
      <c r="Q88" s="1"/>
      <c r="R88" s="1"/>
      <c r="S88" s="1"/>
      <c r="T88" s="1"/>
      <c r="U88" s="1"/>
      <c r="V88" s="1"/>
      <c r="W88" s="1"/>
    </row>
    <row r="89" ht="15.75" customHeight="1">
      <c r="A89" s="1"/>
      <c r="B89" s="54"/>
      <c r="C89" s="5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62"/>
      <c r="P89" s="62"/>
      <c r="Q89" s="1"/>
      <c r="R89" s="1"/>
      <c r="S89" s="1"/>
      <c r="T89" s="1"/>
      <c r="U89" s="1"/>
      <c r="V89" s="1"/>
      <c r="W89" s="1"/>
    </row>
    <row r="90" ht="15.75" customHeight="1">
      <c r="A90" s="1"/>
      <c r="B90" s="54"/>
      <c r="C90" s="5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62"/>
      <c r="P90" s="62"/>
      <c r="Q90" s="1"/>
      <c r="R90" s="1"/>
      <c r="S90" s="1"/>
      <c r="T90" s="1"/>
      <c r="U90" s="1"/>
      <c r="V90" s="1"/>
      <c r="W90" s="1"/>
    </row>
    <row r="91" ht="15.75" customHeight="1">
      <c r="A91" s="1"/>
      <c r="B91" s="54"/>
      <c r="C91" s="5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62"/>
      <c r="P91" s="62"/>
      <c r="Q91" s="1"/>
      <c r="R91" s="1"/>
      <c r="S91" s="1"/>
      <c r="T91" s="1"/>
      <c r="U91" s="1"/>
      <c r="V91" s="1"/>
      <c r="W91" s="1"/>
    </row>
    <row r="92" ht="15.75" customHeight="1">
      <c r="A92" s="1"/>
      <c r="B92" s="54"/>
      <c r="C92" s="5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62"/>
      <c r="P92" s="62"/>
      <c r="Q92" s="1"/>
      <c r="R92" s="1"/>
      <c r="S92" s="1"/>
      <c r="T92" s="1"/>
      <c r="U92" s="1"/>
      <c r="V92" s="1"/>
      <c r="W92" s="1"/>
    </row>
    <row r="93" ht="15.75" customHeight="1">
      <c r="A93" s="1"/>
      <c r="B93" s="54"/>
      <c r="C93" s="5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62"/>
      <c r="P93" s="62"/>
      <c r="Q93" s="1"/>
      <c r="R93" s="1"/>
      <c r="S93" s="1"/>
      <c r="T93" s="1"/>
      <c r="U93" s="1"/>
      <c r="V93" s="1"/>
      <c r="W93" s="1"/>
    </row>
    <row r="94" ht="15.75" customHeight="1">
      <c r="A94" s="1"/>
      <c r="B94" s="54"/>
      <c r="C94" s="5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62"/>
      <c r="P94" s="62"/>
      <c r="Q94" s="1"/>
      <c r="R94" s="1"/>
      <c r="S94" s="1"/>
      <c r="T94" s="1"/>
      <c r="U94" s="1"/>
      <c r="V94" s="1"/>
      <c r="W94" s="1"/>
    </row>
    <row r="95" ht="15.75" customHeight="1">
      <c r="A95" s="1"/>
      <c r="B95" s="54"/>
      <c r="C95" s="5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62"/>
      <c r="P95" s="62"/>
      <c r="Q95" s="1"/>
      <c r="R95" s="1"/>
      <c r="S95" s="1"/>
      <c r="T95" s="1"/>
      <c r="U95" s="1"/>
      <c r="V95" s="1"/>
      <c r="W95" s="1"/>
    </row>
    <row r="96" ht="15.75" customHeight="1">
      <c r="A96" s="1"/>
      <c r="B96" s="54"/>
      <c r="C96" s="5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62"/>
      <c r="P96" s="62"/>
      <c r="Q96" s="1"/>
      <c r="R96" s="1"/>
      <c r="S96" s="1"/>
      <c r="T96" s="1"/>
      <c r="U96" s="1"/>
      <c r="V96" s="1"/>
      <c r="W96" s="1"/>
    </row>
    <row r="97" ht="15.75" customHeight="1">
      <c r="A97" s="1"/>
      <c r="B97" s="54"/>
      <c r="C97" s="5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62"/>
      <c r="P97" s="62"/>
      <c r="Q97" s="1"/>
      <c r="R97" s="1"/>
      <c r="S97" s="1"/>
      <c r="T97" s="1"/>
      <c r="U97" s="1"/>
      <c r="V97" s="1"/>
      <c r="W97" s="1"/>
    </row>
    <row r="98" ht="15.75" customHeight="1">
      <c r="A98" s="1"/>
      <c r="B98" s="54"/>
      <c r="C98" s="5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62"/>
      <c r="P98" s="62"/>
      <c r="Q98" s="1"/>
      <c r="R98" s="1"/>
      <c r="S98" s="1"/>
      <c r="T98" s="1"/>
      <c r="U98" s="1"/>
      <c r="V98" s="1"/>
      <c r="W98" s="1"/>
    </row>
    <row r="99" ht="15.75" customHeight="1">
      <c r="A99" s="1"/>
      <c r="B99" s="54"/>
      <c r="C99" s="5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62"/>
      <c r="P99" s="62"/>
      <c r="Q99" s="1"/>
      <c r="R99" s="1"/>
      <c r="S99" s="1"/>
      <c r="T99" s="1"/>
      <c r="U99" s="1"/>
      <c r="V99" s="1"/>
      <c r="W99" s="1"/>
    </row>
    <row r="100" ht="15.75" customHeight="1">
      <c r="A100" s="1"/>
      <c r="B100" s="54"/>
      <c r="C100" s="5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62"/>
      <c r="P100" s="62"/>
      <c r="Q100" s="1"/>
      <c r="R100" s="1"/>
      <c r="S100" s="1"/>
      <c r="T100" s="1"/>
      <c r="U100" s="1"/>
      <c r="V100" s="1"/>
      <c r="W100" s="1"/>
    </row>
    <row r="101" ht="15.75" customHeight="1">
      <c r="A101" s="1"/>
      <c r="B101" s="54"/>
      <c r="C101" s="5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62"/>
      <c r="P101" s="62"/>
      <c r="Q101" s="1"/>
      <c r="R101" s="1"/>
      <c r="S101" s="1"/>
      <c r="T101" s="1"/>
      <c r="U101" s="1"/>
      <c r="V101" s="1"/>
      <c r="W101" s="1"/>
    </row>
    <row r="102" ht="15.75" customHeight="1">
      <c r="A102" s="1"/>
      <c r="B102" s="54"/>
      <c r="C102" s="5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62"/>
      <c r="P102" s="62"/>
      <c r="Q102" s="1"/>
      <c r="R102" s="1"/>
      <c r="S102" s="1"/>
      <c r="T102" s="1"/>
      <c r="U102" s="1"/>
      <c r="V102" s="1"/>
      <c r="W102" s="1"/>
    </row>
    <row r="103" ht="15.75" customHeight="1">
      <c r="A103" s="1"/>
      <c r="B103" s="54"/>
      <c r="C103" s="5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62"/>
      <c r="P103" s="62"/>
      <c r="Q103" s="1"/>
      <c r="R103" s="1"/>
      <c r="S103" s="1"/>
      <c r="T103" s="1"/>
      <c r="U103" s="1"/>
      <c r="V103" s="1"/>
      <c r="W103" s="1"/>
    </row>
    <row r="104" ht="15.75" customHeight="1">
      <c r="A104" s="1"/>
      <c r="B104" s="54"/>
      <c r="C104" s="5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62"/>
      <c r="P104" s="62"/>
      <c r="Q104" s="1"/>
      <c r="R104" s="1"/>
      <c r="S104" s="1"/>
      <c r="T104" s="1"/>
      <c r="U104" s="1"/>
      <c r="V104" s="1"/>
      <c r="W104" s="1"/>
    </row>
    <row r="105" ht="15.75" customHeight="1">
      <c r="A105" s="1"/>
      <c r="B105" s="54"/>
      <c r="C105" s="5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62"/>
      <c r="P105" s="62"/>
      <c r="Q105" s="1"/>
      <c r="R105" s="1"/>
      <c r="S105" s="1"/>
      <c r="T105" s="1"/>
      <c r="U105" s="1"/>
      <c r="V105" s="1"/>
      <c r="W105" s="1"/>
    </row>
    <row r="106" ht="15.75" customHeight="1">
      <c r="A106" s="1"/>
      <c r="B106" s="54"/>
      <c r="C106" s="5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62"/>
      <c r="P106" s="62"/>
      <c r="Q106" s="1"/>
      <c r="R106" s="1"/>
      <c r="S106" s="1"/>
      <c r="T106" s="1"/>
      <c r="U106" s="1"/>
      <c r="V106" s="1"/>
      <c r="W106" s="1"/>
    </row>
    <row r="107" ht="15.75" customHeight="1">
      <c r="A107" s="1"/>
      <c r="B107" s="54"/>
      <c r="C107" s="5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62"/>
      <c r="P107" s="62"/>
      <c r="Q107" s="1"/>
      <c r="R107" s="1"/>
      <c r="S107" s="1"/>
      <c r="T107" s="1"/>
      <c r="U107" s="1"/>
      <c r="V107" s="1"/>
      <c r="W107" s="1"/>
    </row>
    <row r="108" ht="15.75" customHeight="1">
      <c r="A108" s="1"/>
      <c r="B108" s="54"/>
      <c r="C108" s="5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62"/>
      <c r="P108" s="62"/>
      <c r="Q108" s="1"/>
      <c r="R108" s="1"/>
      <c r="S108" s="1"/>
      <c r="T108" s="1"/>
      <c r="U108" s="1"/>
      <c r="V108" s="1"/>
      <c r="W108" s="1"/>
    </row>
    <row r="109" ht="15.75" customHeight="1">
      <c r="A109" s="1"/>
      <c r="B109" s="54"/>
      <c r="C109" s="5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62"/>
      <c r="P109" s="62"/>
      <c r="Q109" s="1"/>
      <c r="R109" s="1"/>
      <c r="S109" s="1"/>
      <c r="T109" s="1"/>
      <c r="U109" s="1"/>
      <c r="V109" s="1"/>
      <c r="W109" s="1"/>
    </row>
    <row r="110" ht="15.75" customHeight="1">
      <c r="A110" s="1"/>
      <c r="B110" s="54"/>
      <c r="C110" s="5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62"/>
      <c r="P110" s="62"/>
      <c r="Q110" s="1"/>
      <c r="R110" s="1"/>
      <c r="S110" s="1"/>
      <c r="T110" s="1"/>
      <c r="U110" s="1"/>
      <c r="V110" s="1"/>
      <c r="W110" s="1"/>
    </row>
    <row r="111" ht="15.75" customHeight="1">
      <c r="A111" s="1"/>
      <c r="B111" s="54"/>
      <c r="C111" s="5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62"/>
      <c r="P111" s="62"/>
      <c r="Q111" s="1"/>
      <c r="R111" s="1"/>
      <c r="S111" s="1"/>
      <c r="T111" s="1"/>
      <c r="U111" s="1"/>
      <c r="V111" s="1"/>
      <c r="W111" s="1"/>
    </row>
    <row r="112" ht="15.75" customHeight="1">
      <c r="A112" s="1"/>
      <c r="B112" s="54"/>
      <c r="C112" s="5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62"/>
      <c r="P112" s="62"/>
      <c r="Q112" s="1"/>
      <c r="R112" s="1"/>
      <c r="S112" s="1"/>
      <c r="T112" s="1"/>
      <c r="U112" s="1"/>
      <c r="V112" s="1"/>
      <c r="W112" s="1"/>
    </row>
    <row r="113" ht="15.75" customHeight="1">
      <c r="A113" s="1"/>
      <c r="B113" s="54"/>
      <c r="C113" s="5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62"/>
      <c r="P113" s="62"/>
      <c r="Q113" s="1"/>
      <c r="R113" s="1"/>
      <c r="S113" s="1"/>
      <c r="T113" s="1"/>
      <c r="U113" s="1"/>
      <c r="V113" s="1"/>
      <c r="W113" s="1"/>
    </row>
    <row r="114" ht="15.75" customHeight="1">
      <c r="A114" s="1"/>
      <c r="B114" s="54"/>
      <c r="C114" s="5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62"/>
      <c r="P114" s="62"/>
      <c r="Q114" s="1"/>
      <c r="R114" s="1"/>
      <c r="S114" s="1"/>
      <c r="T114" s="1"/>
      <c r="U114" s="1"/>
      <c r="V114" s="1"/>
      <c r="W114" s="1"/>
    </row>
    <row r="115" ht="15.75" customHeight="1">
      <c r="A115" s="1"/>
      <c r="B115" s="54"/>
      <c r="C115" s="5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62"/>
      <c r="P115" s="62"/>
      <c r="Q115" s="1"/>
      <c r="R115" s="1"/>
      <c r="S115" s="1"/>
      <c r="T115" s="1"/>
      <c r="U115" s="1"/>
      <c r="V115" s="1"/>
      <c r="W115" s="1"/>
    </row>
    <row r="116" ht="15.75" customHeight="1">
      <c r="A116" s="1"/>
      <c r="B116" s="54"/>
      <c r="C116" s="5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62"/>
      <c r="P116" s="62"/>
      <c r="Q116" s="1"/>
      <c r="R116" s="1"/>
      <c r="S116" s="1"/>
      <c r="T116" s="1"/>
      <c r="U116" s="1"/>
      <c r="V116" s="1"/>
      <c r="W116" s="1"/>
    </row>
    <row r="117" ht="15.75" customHeight="1">
      <c r="A117" s="1"/>
      <c r="B117" s="54"/>
      <c r="C117" s="5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62"/>
      <c r="P117" s="62"/>
      <c r="Q117" s="1"/>
      <c r="R117" s="1"/>
      <c r="S117" s="1"/>
      <c r="T117" s="1"/>
      <c r="U117" s="1"/>
      <c r="V117" s="1"/>
      <c r="W117" s="1"/>
    </row>
    <row r="118" ht="15.75" customHeight="1">
      <c r="A118" s="1"/>
      <c r="B118" s="54"/>
      <c r="C118" s="5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62"/>
      <c r="P118" s="62"/>
      <c r="Q118" s="1"/>
      <c r="R118" s="1"/>
      <c r="S118" s="1"/>
      <c r="T118" s="1"/>
      <c r="U118" s="1"/>
      <c r="V118" s="1"/>
      <c r="W118" s="1"/>
    </row>
    <row r="119" ht="15.75" customHeight="1">
      <c r="A119" s="1"/>
      <c r="B119" s="54"/>
      <c r="C119" s="5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62"/>
      <c r="P119" s="62"/>
      <c r="Q119" s="1"/>
      <c r="R119" s="1"/>
      <c r="S119" s="1"/>
      <c r="T119" s="1"/>
      <c r="U119" s="1"/>
      <c r="V119" s="1"/>
      <c r="W119" s="1"/>
    </row>
    <row r="120" ht="15.75" customHeight="1">
      <c r="A120" s="1"/>
      <c r="B120" s="54"/>
      <c r="C120" s="5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62"/>
      <c r="P120" s="62"/>
      <c r="Q120" s="1"/>
      <c r="R120" s="1"/>
      <c r="S120" s="1"/>
      <c r="T120" s="1"/>
      <c r="U120" s="1"/>
      <c r="V120" s="1"/>
      <c r="W120" s="1"/>
    </row>
    <row r="121" ht="15.75" customHeight="1">
      <c r="A121" s="1"/>
      <c r="B121" s="54"/>
      <c r="C121" s="5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62"/>
      <c r="P121" s="62"/>
      <c r="Q121" s="1"/>
      <c r="R121" s="1"/>
      <c r="S121" s="1"/>
      <c r="T121" s="1"/>
      <c r="U121" s="1"/>
      <c r="V121" s="1"/>
      <c r="W121" s="1"/>
    </row>
    <row r="122" ht="15.75" customHeight="1">
      <c r="A122" s="1"/>
      <c r="B122" s="54"/>
      <c r="C122" s="5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62"/>
      <c r="P122" s="62"/>
      <c r="Q122" s="1"/>
      <c r="R122" s="1"/>
      <c r="S122" s="1"/>
      <c r="T122" s="1"/>
      <c r="U122" s="1"/>
      <c r="V122" s="1"/>
      <c r="W122" s="1"/>
    </row>
    <row r="123" ht="15.75" customHeight="1">
      <c r="A123" s="1"/>
      <c r="B123" s="54"/>
      <c r="C123" s="5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62"/>
      <c r="P123" s="62"/>
      <c r="Q123" s="1"/>
      <c r="R123" s="1"/>
      <c r="S123" s="1"/>
      <c r="T123" s="1"/>
      <c r="U123" s="1"/>
      <c r="V123" s="1"/>
      <c r="W123" s="1"/>
    </row>
    <row r="124" ht="15.75" customHeight="1">
      <c r="A124" s="1"/>
      <c r="B124" s="54"/>
      <c r="C124" s="5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62"/>
      <c r="P124" s="62"/>
      <c r="Q124" s="1"/>
      <c r="R124" s="1"/>
      <c r="S124" s="1"/>
      <c r="T124" s="1"/>
      <c r="U124" s="1"/>
      <c r="V124" s="1"/>
      <c r="W124" s="1"/>
    </row>
    <row r="125" ht="15.75" customHeight="1">
      <c r="A125" s="1"/>
      <c r="B125" s="54"/>
      <c r="C125" s="5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62"/>
      <c r="P125" s="62"/>
      <c r="Q125" s="1"/>
      <c r="R125" s="1"/>
      <c r="S125" s="1"/>
      <c r="T125" s="1"/>
      <c r="U125" s="1"/>
      <c r="V125" s="1"/>
      <c r="W125" s="1"/>
    </row>
    <row r="126" ht="15.75" customHeight="1">
      <c r="A126" s="1"/>
      <c r="B126" s="54"/>
      <c r="C126" s="5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62"/>
      <c r="P126" s="62"/>
      <c r="Q126" s="1"/>
      <c r="R126" s="1"/>
      <c r="S126" s="1"/>
      <c r="T126" s="1"/>
      <c r="U126" s="1"/>
      <c r="V126" s="1"/>
      <c r="W126" s="1"/>
    </row>
    <row r="127" ht="15.75" customHeight="1">
      <c r="A127" s="1"/>
      <c r="B127" s="54"/>
      <c r="C127" s="5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62"/>
      <c r="P127" s="62"/>
      <c r="Q127" s="1"/>
      <c r="R127" s="1"/>
      <c r="S127" s="1"/>
      <c r="T127" s="1"/>
      <c r="U127" s="1"/>
      <c r="V127" s="1"/>
      <c r="W127" s="1"/>
    </row>
    <row r="128" ht="15.75" customHeight="1">
      <c r="A128" s="1"/>
      <c r="B128" s="54"/>
      <c r="C128" s="5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62"/>
      <c r="P128" s="62"/>
      <c r="Q128" s="1"/>
      <c r="R128" s="1"/>
      <c r="S128" s="1"/>
      <c r="T128" s="1"/>
      <c r="U128" s="1"/>
      <c r="V128" s="1"/>
      <c r="W128" s="1"/>
    </row>
    <row r="129" ht="15.75" customHeight="1">
      <c r="A129" s="1"/>
      <c r="B129" s="54"/>
      <c r="C129" s="5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62"/>
      <c r="P129" s="62"/>
      <c r="Q129" s="1"/>
      <c r="R129" s="1"/>
      <c r="S129" s="1"/>
      <c r="T129" s="1"/>
      <c r="U129" s="1"/>
      <c r="V129" s="1"/>
      <c r="W129" s="1"/>
    </row>
    <row r="130" ht="15.75" customHeight="1">
      <c r="A130" s="1"/>
      <c r="B130" s="54"/>
      <c r="C130" s="5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62"/>
      <c r="P130" s="62"/>
      <c r="Q130" s="1"/>
      <c r="R130" s="1"/>
      <c r="S130" s="1"/>
      <c r="T130" s="1"/>
      <c r="U130" s="1"/>
      <c r="V130" s="1"/>
      <c r="W130" s="1"/>
    </row>
    <row r="131" ht="15.75" customHeight="1">
      <c r="A131" s="1"/>
      <c r="B131" s="54"/>
      <c r="C131" s="5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62"/>
      <c r="P131" s="62"/>
      <c r="Q131" s="1"/>
      <c r="R131" s="1"/>
      <c r="S131" s="1"/>
      <c r="T131" s="1"/>
      <c r="U131" s="1"/>
      <c r="V131" s="1"/>
      <c r="W131" s="1"/>
    </row>
    <row r="132" ht="15.75" customHeight="1">
      <c r="A132" s="1"/>
      <c r="B132" s="54"/>
      <c r="C132" s="5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62"/>
      <c r="P132" s="62"/>
      <c r="Q132" s="1"/>
      <c r="R132" s="1"/>
      <c r="S132" s="1"/>
      <c r="T132" s="1"/>
      <c r="U132" s="1"/>
      <c r="V132" s="1"/>
      <c r="W132" s="1"/>
    </row>
    <row r="133" ht="15.75" customHeight="1">
      <c r="A133" s="1"/>
      <c r="B133" s="54"/>
      <c r="C133" s="5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62"/>
      <c r="P133" s="62"/>
      <c r="Q133" s="1"/>
      <c r="R133" s="1"/>
      <c r="S133" s="1"/>
      <c r="T133" s="1"/>
      <c r="U133" s="1"/>
      <c r="V133" s="1"/>
      <c r="W133" s="1"/>
    </row>
    <row r="134" ht="15.75" customHeight="1">
      <c r="A134" s="1"/>
      <c r="B134" s="54"/>
      <c r="C134" s="5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62"/>
      <c r="P134" s="62"/>
      <c r="Q134" s="1"/>
      <c r="R134" s="1"/>
      <c r="S134" s="1"/>
      <c r="T134" s="1"/>
      <c r="U134" s="1"/>
      <c r="V134" s="1"/>
      <c r="W134" s="1"/>
    </row>
    <row r="135" ht="15.75" customHeight="1">
      <c r="A135" s="1"/>
      <c r="B135" s="54"/>
      <c r="C135" s="5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62"/>
      <c r="P135" s="62"/>
      <c r="Q135" s="1"/>
      <c r="R135" s="1"/>
      <c r="S135" s="1"/>
      <c r="T135" s="1"/>
      <c r="U135" s="1"/>
      <c r="V135" s="1"/>
      <c r="W135" s="1"/>
    </row>
    <row r="136" ht="15.75" customHeight="1">
      <c r="A136" s="1"/>
      <c r="B136" s="54"/>
      <c r="C136" s="5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62"/>
      <c r="P136" s="62"/>
      <c r="Q136" s="1"/>
      <c r="R136" s="1"/>
      <c r="S136" s="1"/>
      <c r="T136" s="1"/>
      <c r="U136" s="1"/>
      <c r="V136" s="1"/>
      <c r="W136" s="1"/>
    </row>
    <row r="137" ht="15.75" customHeight="1">
      <c r="A137" s="1"/>
      <c r="B137" s="54"/>
      <c r="C137" s="5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62"/>
      <c r="P137" s="62"/>
      <c r="Q137" s="1"/>
      <c r="R137" s="1"/>
      <c r="S137" s="1"/>
      <c r="T137" s="1"/>
      <c r="U137" s="1"/>
      <c r="V137" s="1"/>
      <c r="W137" s="1"/>
    </row>
    <row r="138" ht="15.75" customHeight="1">
      <c r="A138" s="1"/>
      <c r="B138" s="54"/>
      <c r="C138" s="5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62"/>
      <c r="P138" s="62"/>
      <c r="Q138" s="1"/>
      <c r="R138" s="1"/>
      <c r="S138" s="1"/>
      <c r="T138" s="1"/>
      <c r="U138" s="1"/>
      <c r="V138" s="1"/>
      <c r="W138" s="1"/>
    </row>
    <row r="139" ht="15.75" customHeight="1">
      <c r="A139" s="1"/>
      <c r="B139" s="54"/>
      <c r="C139" s="5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62"/>
      <c r="P139" s="62"/>
      <c r="Q139" s="1"/>
      <c r="R139" s="1"/>
      <c r="S139" s="1"/>
      <c r="T139" s="1"/>
      <c r="U139" s="1"/>
      <c r="V139" s="1"/>
      <c r="W139" s="1"/>
    </row>
    <row r="140" ht="15.75" customHeight="1">
      <c r="A140" s="1"/>
      <c r="B140" s="54"/>
      <c r="C140" s="5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62"/>
      <c r="P140" s="62"/>
      <c r="Q140" s="1"/>
      <c r="R140" s="1"/>
      <c r="S140" s="1"/>
      <c r="T140" s="1"/>
      <c r="U140" s="1"/>
      <c r="V140" s="1"/>
      <c r="W140" s="1"/>
    </row>
    <row r="141" ht="15.75" customHeight="1">
      <c r="A141" s="1"/>
      <c r="B141" s="54"/>
      <c r="C141" s="5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62"/>
      <c r="P141" s="62"/>
      <c r="Q141" s="1"/>
      <c r="R141" s="1"/>
      <c r="S141" s="1"/>
      <c r="T141" s="1"/>
      <c r="U141" s="1"/>
      <c r="V141" s="1"/>
      <c r="W141" s="1"/>
    </row>
    <row r="142" ht="15.75" customHeight="1">
      <c r="A142" s="1"/>
      <c r="B142" s="54"/>
      <c r="C142" s="5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62"/>
      <c r="P142" s="62"/>
      <c r="Q142" s="1"/>
      <c r="R142" s="1"/>
      <c r="S142" s="1"/>
      <c r="T142" s="1"/>
      <c r="U142" s="1"/>
      <c r="V142" s="1"/>
      <c r="W142" s="1"/>
    </row>
    <row r="143" ht="15.75" customHeight="1">
      <c r="A143" s="1"/>
      <c r="B143" s="54"/>
      <c r="C143" s="5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62"/>
      <c r="P143" s="62"/>
      <c r="Q143" s="1"/>
      <c r="R143" s="1"/>
      <c r="S143" s="1"/>
      <c r="T143" s="1"/>
      <c r="U143" s="1"/>
      <c r="V143" s="1"/>
      <c r="W143" s="1"/>
    </row>
    <row r="144" ht="15.75" customHeight="1">
      <c r="A144" s="1"/>
      <c r="B144" s="54"/>
      <c r="C144" s="5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62"/>
      <c r="P144" s="62"/>
      <c r="Q144" s="1"/>
      <c r="R144" s="1"/>
      <c r="S144" s="1"/>
      <c r="T144" s="1"/>
      <c r="U144" s="1"/>
      <c r="V144" s="1"/>
      <c r="W144" s="1"/>
    </row>
    <row r="145" ht="15.75" customHeight="1">
      <c r="A145" s="1"/>
      <c r="B145" s="54"/>
      <c r="C145" s="5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62"/>
      <c r="P145" s="62"/>
      <c r="Q145" s="1"/>
      <c r="R145" s="1"/>
      <c r="S145" s="1"/>
      <c r="T145" s="1"/>
      <c r="U145" s="1"/>
      <c r="V145" s="1"/>
      <c r="W145" s="1"/>
    </row>
    <row r="146" ht="15.75" customHeight="1">
      <c r="A146" s="1"/>
      <c r="B146" s="54"/>
      <c r="C146" s="5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62"/>
      <c r="P146" s="62"/>
      <c r="Q146" s="1"/>
      <c r="R146" s="1"/>
      <c r="S146" s="1"/>
      <c r="T146" s="1"/>
      <c r="U146" s="1"/>
      <c r="V146" s="1"/>
      <c r="W146" s="1"/>
    </row>
    <row r="147" ht="15.75" customHeight="1">
      <c r="A147" s="1"/>
      <c r="B147" s="54"/>
      <c r="C147" s="5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62"/>
      <c r="P147" s="62"/>
      <c r="Q147" s="1"/>
      <c r="R147" s="1"/>
      <c r="S147" s="1"/>
      <c r="T147" s="1"/>
      <c r="U147" s="1"/>
      <c r="V147" s="1"/>
      <c r="W147" s="1"/>
    </row>
    <row r="148" ht="15.75" customHeight="1">
      <c r="A148" s="1"/>
      <c r="B148" s="54"/>
      <c r="C148" s="5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62"/>
      <c r="P148" s="62"/>
      <c r="Q148" s="1"/>
      <c r="R148" s="1"/>
      <c r="S148" s="1"/>
      <c r="T148" s="1"/>
      <c r="U148" s="1"/>
      <c r="V148" s="1"/>
      <c r="W148" s="1"/>
    </row>
    <row r="149" ht="15.75" customHeight="1">
      <c r="A149" s="1"/>
      <c r="B149" s="54"/>
      <c r="C149" s="5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62"/>
      <c r="P149" s="62"/>
      <c r="Q149" s="1"/>
      <c r="R149" s="1"/>
      <c r="S149" s="1"/>
      <c r="T149" s="1"/>
      <c r="U149" s="1"/>
      <c r="V149" s="1"/>
      <c r="W149" s="1"/>
    </row>
    <row r="150" ht="15.75" customHeight="1">
      <c r="A150" s="1"/>
      <c r="B150" s="54"/>
      <c r="C150" s="5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62"/>
      <c r="P150" s="62"/>
      <c r="Q150" s="1"/>
      <c r="R150" s="1"/>
      <c r="S150" s="1"/>
      <c r="T150" s="1"/>
      <c r="U150" s="1"/>
      <c r="V150" s="1"/>
      <c r="W150" s="1"/>
    </row>
    <row r="151" ht="15.75" customHeight="1">
      <c r="A151" s="1"/>
      <c r="B151" s="54"/>
      <c r="C151" s="5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62"/>
      <c r="P151" s="62"/>
      <c r="Q151" s="1"/>
      <c r="R151" s="1"/>
      <c r="S151" s="1"/>
      <c r="T151" s="1"/>
      <c r="U151" s="1"/>
      <c r="V151" s="1"/>
      <c r="W151" s="1"/>
    </row>
    <row r="152" ht="15.75" customHeight="1">
      <c r="A152" s="1"/>
      <c r="B152" s="54"/>
      <c r="C152" s="5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62"/>
      <c r="P152" s="62"/>
      <c r="Q152" s="1"/>
      <c r="R152" s="1"/>
      <c r="S152" s="1"/>
      <c r="T152" s="1"/>
      <c r="U152" s="1"/>
      <c r="V152" s="1"/>
      <c r="W152" s="1"/>
    </row>
    <row r="153" ht="15.75" customHeight="1">
      <c r="A153" s="1"/>
      <c r="B153" s="54"/>
      <c r="C153" s="5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62"/>
      <c r="P153" s="62"/>
      <c r="Q153" s="1"/>
      <c r="R153" s="1"/>
      <c r="S153" s="1"/>
      <c r="T153" s="1"/>
      <c r="U153" s="1"/>
      <c r="V153" s="1"/>
      <c r="W153" s="1"/>
    </row>
    <row r="154" ht="15.75" customHeight="1">
      <c r="A154" s="1"/>
      <c r="B154" s="54"/>
      <c r="C154" s="5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62"/>
      <c r="P154" s="62"/>
      <c r="Q154" s="1"/>
      <c r="R154" s="1"/>
      <c r="S154" s="1"/>
      <c r="T154" s="1"/>
      <c r="U154" s="1"/>
      <c r="V154" s="1"/>
      <c r="W154" s="1"/>
    </row>
    <row r="155" ht="15.75" customHeight="1">
      <c r="A155" s="1"/>
      <c r="B155" s="54"/>
      <c r="C155" s="5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62"/>
      <c r="P155" s="62"/>
      <c r="Q155" s="1"/>
      <c r="R155" s="1"/>
      <c r="S155" s="1"/>
      <c r="T155" s="1"/>
      <c r="U155" s="1"/>
      <c r="V155" s="1"/>
      <c r="W155" s="1"/>
    </row>
    <row r="156" ht="15.75" customHeight="1">
      <c r="A156" s="1"/>
      <c r="B156" s="54"/>
      <c r="C156" s="5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62"/>
      <c r="P156" s="62"/>
      <c r="Q156" s="1"/>
      <c r="R156" s="1"/>
      <c r="S156" s="1"/>
      <c r="T156" s="1"/>
      <c r="U156" s="1"/>
      <c r="V156" s="1"/>
      <c r="W156" s="1"/>
    </row>
    <row r="157" ht="15.75" customHeight="1">
      <c r="A157" s="1"/>
      <c r="B157" s="54"/>
      <c r="C157" s="5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62"/>
      <c r="P157" s="62"/>
      <c r="Q157" s="1"/>
      <c r="R157" s="1"/>
      <c r="S157" s="1"/>
      <c r="T157" s="1"/>
      <c r="U157" s="1"/>
      <c r="V157" s="1"/>
      <c r="W157" s="1"/>
    </row>
    <row r="158" ht="15.75" customHeight="1">
      <c r="A158" s="1"/>
      <c r="B158" s="54"/>
      <c r="C158" s="5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62"/>
      <c r="P158" s="62"/>
      <c r="Q158" s="1"/>
      <c r="R158" s="1"/>
      <c r="S158" s="1"/>
      <c r="T158" s="1"/>
      <c r="U158" s="1"/>
      <c r="V158" s="1"/>
      <c r="W158" s="1"/>
    </row>
    <row r="159" ht="15.75" customHeight="1">
      <c r="A159" s="1"/>
      <c r="B159" s="54"/>
      <c r="C159" s="5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62"/>
      <c r="P159" s="62"/>
      <c r="Q159" s="1"/>
      <c r="R159" s="1"/>
      <c r="S159" s="1"/>
      <c r="T159" s="1"/>
      <c r="U159" s="1"/>
      <c r="V159" s="1"/>
      <c r="W159" s="1"/>
    </row>
    <row r="160" ht="15.75" customHeight="1">
      <c r="A160" s="1"/>
      <c r="B160" s="54"/>
      <c r="C160" s="5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62"/>
      <c r="P160" s="62"/>
      <c r="Q160" s="1"/>
      <c r="R160" s="1"/>
      <c r="S160" s="1"/>
      <c r="T160" s="1"/>
      <c r="U160" s="1"/>
      <c r="V160" s="1"/>
      <c r="W160" s="1"/>
    </row>
    <row r="161" ht="15.75" customHeight="1">
      <c r="A161" s="1"/>
      <c r="B161" s="54"/>
      <c r="C161" s="5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62"/>
      <c r="P161" s="62"/>
      <c r="Q161" s="1"/>
      <c r="R161" s="1"/>
      <c r="S161" s="1"/>
      <c r="T161" s="1"/>
      <c r="U161" s="1"/>
      <c r="V161" s="1"/>
      <c r="W161" s="1"/>
    </row>
    <row r="162" ht="15.75" customHeight="1">
      <c r="A162" s="1"/>
      <c r="B162" s="54"/>
      <c r="C162" s="5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62"/>
      <c r="P162" s="62"/>
      <c r="Q162" s="1"/>
      <c r="R162" s="1"/>
      <c r="S162" s="1"/>
      <c r="T162" s="1"/>
      <c r="U162" s="1"/>
      <c r="V162" s="1"/>
      <c r="W162" s="1"/>
    </row>
    <row r="163" ht="15.75" customHeight="1">
      <c r="A163" s="1"/>
      <c r="B163" s="54"/>
      <c r="C163" s="5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62"/>
      <c r="P163" s="62"/>
      <c r="Q163" s="1"/>
      <c r="R163" s="1"/>
      <c r="S163" s="1"/>
      <c r="T163" s="1"/>
      <c r="U163" s="1"/>
      <c r="V163" s="1"/>
      <c r="W163" s="1"/>
    </row>
    <row r="164" ht="15.75" customHeight="1">
      <c r="A164" s="1"/>
      <c r="B164" s="54"/>
      <c r="C164" s="5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62"/>
      <c r="P164" s="62"/>
      <c r="Q164" s="1"/>
      <c r="R164" s="1"/>
      <c r="S164" s="1"/>
      <c r="T164" s="1"/>
      <c r="U164" s="1"/>
      <c r="V164" s="1"/>
      <c r="W164" s="1"/>
    </row>
    <row r="165" ht="15.75" customHeight="1">
      <c r="A165" s="1"/>
      <c r="B165" s="54"/>
      <c r="C165" s="5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62"/>
      <c r="P165" s="62"/>
      <c r="Q165" s="1"/>
      <c r="R165" s="1"/>
      <c r="S165" s="1"/>
      <c r="T165" s="1"/>
      <c r="U165" s="1"/>
      <c r="V165" s="1"/>
      <c r="W165" s="1"/>
    </row>
    <row r="166" ht="15.75" customHeight="1">
      <c r="A166" s="1"/>
      <c r="B166" s="54"/>
      <c r="C166" s="5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62"/>
      <c r="P166" s="62"/>
      <c r="Q166" s="1"/>
      <c r="R166" s="1"/>
      <c r="S166" s="1"/>
      <c r="T166" s="1"/>
      <c r="U166" s="1"/>
      <c r="V166" s="1"/>
      <c r="W166" s="1"/>
    </row>
    <row r="167" ht="15.75" customHeight="1">
      <c r="A167" s="1"/>
      <c r="B167" s="54"/>
      <c r="C167" s="5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62"/>
      <c r="P167" s="62"/>
      <c r="Q167" s="1"/>
      <c r="R167" s="1"/>
      <c r="S167" s="1"/>
      <c r="T167" s="1"/>
      <c r="U167" s="1"/>
      <c r="V167" s="1"/>
      <c r="W167" s="1"/>
    </row>
    <row r="168" ht="15.75" customHeight="1">
      <c r="A168" s="1"/>
      <c r="B168" s="54"/>
      <c r="C168" s="5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62"/>
      <c r="P168" s="62"/>
      <c r="Q168" s="1"/>
      <c r="R168" s="1"/>
      <c r="S168" s="1"/>
      <c r="T168" s="1"/>
      <c r="U168" s="1"/>
      <c r="V168" s="1"/>
      <c r="W168" s="1"/>
    </row>
    <row r="169" ht="15.75" customHeight="1">
      <c r="A169" s="1"/>
      <c r="B169" s="54"/>
      <c r="C169" s="5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62"/>
      <c r="P169" s="62"/>
      <c r="Q169" s="1"/>
      <c r="R169" s="1"/>
      <c r="S169" s="1"/>
      <c r="T169" s="1"/>
      <c r="U169" s="1"/>
      <c r="V169" s="1"/>
      <c r="W169" s="1"/>
    </row>
    <row r="170" ht="15.75" customHeight="1">
      <c r="A170" s="1"/>
      <c r="B170" s="54"/>
      <c r="C170" s="5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62"/>
      <c r="P170" s="62"/>
      <c r="Q170" s="1"/>
      <c r="R170" s="1"/>
      <c r="S170" s="1"/>
      <c r="T170" s="1"/>
      <c r="U170" s="1"/>
      <c r="V170" s="1"/>
      <c r="W170" s="1"/>
    </row>
    <row r="171" ht="15.75" customHeight="1">
      <c r="A171" s="1"/>
      <c r="B171" s="54"/>
      <c r="C171" s="5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62"/>
      <c r="P171" s="62"/>
      <c r="Q171" s="1"/>
      <c r="R171" s="1"/>
      <c r="S171" s="1"/>
      <c r="T171" s="1"/>
      <c r="U171" s="1"/>
      <c r="V171" s="1"/>
      <c r="W171" s="1"/>
    </row>
    <row r="172" ht="15.75" customHeight="1">
      <c r="A172" s="1"/>
      <c r="B172" s="54"/>
      <c r="C172" s="5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62"/>
      <c r="P172" s="62"/>
      <c r="Q172" s="1"/>
      <c r="R172" s="1"/>
      <c r="S172" s="1"/>
      <c r="T172" s="1"/>
      <c r="U172" s="1"/>
      <c r="V172" s="1"/>
      <c r="W172" s="1"/>
    </row>
    <row r="173" ht="15.75" customHeight="1">
      <c r="A173" s="1"/>
      <c r="B173" s="54"/>
      <c r="C173" s="5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62"/>
      <c r="P173" s="62"/>
      <c r="Q173" s="1"/>
      <c r="R173" s="1"/>
      <c r="S173" s="1"/>
      <c r="T173" s="1"/>
      <c r="U173" s="1"/>
      <c r="V173" s="1"/>
      <c r="W173" s="1"/>
    </row>
    <row r="174" ht="15.75" customHeight="1">
      <c r="A174" s="1"/>
      <c r="B174" s="54"/>
      <c r="C174" s="5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62"/>
      <c r="P174" s="62"/>
      <c r="Q174" s="1"/>
      <c r="R174" s="1"/>
      <c r="S174" s="1"/>
      <c r="T174" s="1"/>
      <c r="U174" s="1"/>
      <c r="V174" s="1"/>
      <c r="W174" s="1"/>
    </row>
    <row r="175" ht="15.75" customHeight="1">
      <c r="A175" s="1"/>
      <c r="B175" s="54"/>
      <c r="C175" s="5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62"/>
      <c r="P175" s="62"/>
      <c r="Q175" s="1"/>
      <c r="R175" s="1"/>
      <c r="S175" s="1"/>
      <c r="T175" s="1"/>
      <c r="U175" s="1"/>
      <c r="V175" s="1"/>
      <c r="W175" s="1"/>
    </row>
    <row r="176" ht="15.75" customHeight="1">
      <c r="A176" s="1"/>
      <c r="B176" s="54"/>
      <c r="C176" s="5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62"/>
      <c r="P176" s="62"/>
      <c r="Q176" s="1"/>
      <c r="R176" s="1"/>
      <c r="S176" s="1"/>
      <c r="T176" s="1"/>
      <c r="U176" s="1"/>
      <c r="V176" s="1"/>
      <c r="W176" s="1"/>
    </row>
    <row r="177" ht="15.75" customHeight="1">
      <c r="A177" s="1"/>
      <c r="B177" s="54"/>
      <c r="C177" s="5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62"/>
      <c r="P177" s="62"/>
      <c r="Q177" s="1"/>
      <c r="R177" s="1"/>
      <c r="S177" s="1"/>
      <c r="T177" s="1"/>
      <c r="U177" s="1"/>
      <c r="V177" s="1"/>
      <c r="W177" s="1"/>
    </row>
    <row r="178" ht="15.75" customHeight="1">
      <c r="A178" s="1"/>
      <c r="B178" s="54"/>
      <c r="C178" s="5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62"/>
      <c r="P178" s="62"/>
      <c r="Q178" s="1"/>
      <c r="R178" s="1"/>
      <c r="S178" s="1"/>
      <c r="T178" s="1"/>
      <c r="U178" s="1"/>
      <c r="V178" s="1"/>
      <c r="W178" s="1"/>
    </row>
    <row r="179" ht="15.75" customHeight="1">
      <c r="A179" s="1"/>
      <c r="B179" s="54"/>
      <c r="C179" s="5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62"/>
      <c r="P179" s="62"/>
      <c r="Q179" s="1"/>
      <c r="R179" s="1"/>
      <c r="S179" s="1"/>
      <c r="T179" s="1"/>
      <c r="U179" s="1"/>
      <c r="V179" s="1"/>
      <c r="W179" s="1"/>
    </row>
    <row r="180" ht="15.75" customHeight="1">
      <c r="A180" s="1"/>
      <c r="B180" s="54"/>
      <c r="C180" s="5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62"/>
      <c r="P180" s="62"/>
      <c r="Q180" s="1"/>
      <c r="R180" s="1"/>
      <c r="S180" s="1"/>
      <c r="T180" s="1"/>
      <c r="U180" s="1"/>
      <c r="V180" s="1"/>
      <c r="W180" s="1"/>
    </row>
    <row r="181" ht="15.75" customHeight="1">
      <c r="A181" s="1"/>
      <c r="B181" s="54"/>
      <c r="C181" s="5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62"/>
      <c r="P181" s="62"/>
      <c r="Q181" s="1"/>
      <c r="R181" s="1"/>
      <c r="S181" s="1"/>
      <c r="T181" s="1"/>
      <c r="U181" s="1"/>
      <c r="V181" s="1"/>
      <c r="W181" s="1"/>
    </row>
    <row r="182" ht="15.75" customHeight="1">
      <c r="A182" s="1"/>
      <c r="B182" s="54"/>
      <c r="C182" s="5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62"/>
      <c r="P182" s="62"/>
      <c r="Q182" s="1"/>
      <c r="R182" s="1"/>
      <c r="S182" s="1"/>
      <c r="T182" s="1"/>
      <c r="U182" s="1"/>
      <c r="V182" s="1"/>
      <c r="W182" s="1"/>
    </row>
    <row r="183" ht="15.75" customHeight="1">
      <c r="A183" s="1"/>
      <c r="B183" s="54"/>
      <c r="C183" s="5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62"/>
      <c r="P183" s="62"/>
      <c r="Q183" s="1"/>
      <c r="R183" s="1"/>
      <c r="S183" s="1"/>
      <c r="T183" s="1"/>
      <c r="U183" s="1"/>
      <c r="V183" s="1"/>
      <c r="W183" s="1"/>
    </row>
    <row r="184" ht="15.75" customHeight="1">
      <c r="A184" s="1"/>
      <c r="B184" s="54"/>
      <c r="C184" s="5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62"/>
      <c r="P184" s="62"/>
      <c r="Q184" s="1"/>
      <c r="R184" s="1"/>
      <c r="S184" s="1"/>
      <c r="T184" s="1"/>
      <c r="U184" s="1"/>
      <c r="V184" s="1"/>
      <c r="W184" s="1"/>
    </row>
    <row r="185" ht="15.75" customHeight="1">
      <c r="A185" s="1"/>
      <c r="B185" s="54"/>
      <c r="C185" s="5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62"/>
      <c r="P185" s="62"/>
      <c r="Q185" s="1"/>
      <c r="R185" s="1"/>
      <c r="S185" s="1"/>
      <c r="T185" s="1"/>
      <c r="U185" s="1"/>
      <c r="V185" s="1"/>
      <c r="W185" s="1"/>
    </row>
    <row r="186" ht="15.75" customHeight="1">
      <c r="A186" s="1"/>
      <c r="B186" s="54"/>
      <c r="C186" s="5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62"/>
      <c r="P186" s="62"/>
      <c r="Q186" s="1"/>
      <c r="R186" s="1"/>
      <c r="S186" s="1"/>
      <c r="T186" s="1"/>
      <c r="U186" s="1"/>
      <c r="V186" s="1"/>
      <c r="W186" s="1"/>
    </row>
    <row r="187" ht="15.75" customHeight="1">
      <c r="A187" s="1"/>
      <c r="B187" s="54"/>
      <c r="C187" s="5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62"/>
      <c r="P187" s="62"/>
      <c r="Q187" s="1"/>
      <c r="R187" s="1"/>
      <c r="S187" s="1"/>
      <c r="T187" s="1"/>
      <c r="U187" s="1"/>
      <c r="V187" s="1"/>
      <c r="W187" s="1"/>
    </row>
    <row r="188" ht="15.75" customHeight="1">
      <c r="A188" s="1"/>
      <c r="B188" s="54"/>
      <c r="C188" s="5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62"/>
      <c r="P188" s="62"/>
      <c r="Q188" s="1"/>
      <c r="R188" s="1"/>
      <c r="S188" s="1"/>
      <c r="T188" s="1"/>
      <c r="U188" s="1"/>
      <c r="V188" s="1"/>
      <c r="W188" s="1"/>
    </row>
    <row r="189" ht="15.75" customHeight="1">
      <c r="A189" s="1"/>
      <c r="B189" s="54"/>
      <c r="C189" s="5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62"/>
      <c r="P189" s="62"/>
      <c r="Q189" s="1"/>
      <c r="R189" s="1"/>
      <c r="S189" s="1"/>
      <c r="T189" s="1"/>
      <c r="U189" s="1"/>
      <c r="V189" s="1"/>
      <c r="W189" s="1"/>
    </row>
    <row r="190" ht="15.75" customHeight="1">
      <c r="A190" s="1"/>
      <c r="B190" s="54"/>
      <c r="C190" s="5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62"/>
      <c r="P190" s="62"/>
      <c r="Q190" s="1"/>
      <c r="R190" s="1"/>
      <c r="S190" s="1"/>
      <c r="T190" s="1"/>
      <c r="U190" s="1"/>
      <c r="V190" s="1"/>
      <c r="W190" s="1"/>
    </row>
    <row r="191" ht="15.75" customHeight="1">
      <c r="A191" s="1"/>
      <c r="B191" s="54"/>
      <c r="C191" s="5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62"/>
      <c r="P191" s="62"/>
      <c r="Q191" s="1"/>
      <c r="R191" s="1"/>
      <c r="S191" s="1"/>
      <c r="T191" s="1"/>
      <c r="U191" s="1"/>
      <c r="V191" s="1"/>
      <c r="W191" s="1"/>
    </row>
    <row r="192" ht="15.75" customHeight="1">
      <c r="A192" s="1"/>
      <c r="B192" s="54"/>
      <c r="C192" s="5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62"/>
      <c r="P192" s="62"/>
      <c r="Q192" s="1"/>
      <c r="R192" s="1"/>
      <c r="S192" s="1"/>
      <c r="T192" s="1"/>
      <c r="U192" s="1"/>
      <c r="V192" s="1"/>
      <c r="W192" s="1"/>
    </row>
    <row r="193" ht="15.75" customHeight="1">
      <c r="A193" s="1"/>
      <c r="B193" s="54"/>
      <c r="C193" s="5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62"/>
      <c r="P193" s="62"/>
      <c r="Q193" s="1"/>
      <c r="R193" s="1"/>
      <c r="S193" s="1"/>
      <c r="T193" s="1"/>
      <c r="U193" s="1"/>
      <c r="V193" s="1"/>
      <c r="W193" s="1"/>
    </row>
    <row r="194" ht="15.75" customHeight="1">
      <c r="A194" s="1"/>
      <c r="B194" s="54"/>
      <c r="C194" s="5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62"/>
      <c r="P194" s="62"/>
      <c r="Q194" s="1"/>
      <c r="R194" s="1"/>
      <c r="S194" s="1"/>
      <c r="T194" s="1"/>
      <c r="U194" s="1"/>
      <c r="V194" s="1"/>
      <c r="W194" s="1"/>
    </row>
    <row r="195" ht="15.75" customHeight="1">
      <c r="A195" s="1"/>
      <c r="B195" s="54"/>
      <c r="C195" s="5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62"/>
      <c r="P195" s="62"/>
      <c r="Q195" s="1"/>
      <c r="R195" s="1"/>
      <c r="S195" s="1"/>
      <c r="T195" s="1"/>
      <c r="U195" s="1"/>
      <c r="V195" s="1"/>
      <c r="W195" s="1"/>
    </row>
    <row r="196" ht="15.75" customHeight="1">
      <c r="A196" s="1"/>
      <c r="B196" s="54"/>
      <c r="C196" s="5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62"/>
      <c r="P196" s="62"/>
      <c r="Q196" s="1"/>
      <c r="R196" s="1"/>
      <c r="S196" s="1"/>
      <c r="T196" s="1"/>
      <c r="U196" s="1"/>
      <c r="V196" s="1"/>
      <c r="W196" s="1"/>
    </row>
    <row r="197" ht="15.75" customHeight="1">
      <c r="A197" s="1"/>
      <c r="B197" s="54"/>
      <c r="C197" s="5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62"/>
      <c r="P197" s="62"/>
      <c r="Q197" s="1"/>
      <c r="R197" s="1"/>
      <c r="S197" s="1"/>
      <c r="T197" s="1"/>
      <c r="U197" s="1"/>
      <c r="V197" s="1"/>
      <c r="W197" s="1"/>
    </row>
    <row r="198" ht="15.75" customHeight="1">
      <c r="A198" s="1"/>
      <c r="B198" s="54"/>
      <c r="C198" s="5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62"/>
      <c r="P198" s="62"/>
      <c r="Q198" s="1"/>
      <c r="R198" s="1"/>
      <c r="S198" s="1"/>
      <c r="T198" s="1"/>
      <c r="U198" s="1"/>
      <c r="V198" s="1"/>
      <c r="W198" s="1"/>
    </row>
    <row r="199" ht="15.75" customHeight="1">
      <c r="A199" s="1"/>
      <c r="B199" s="54"/>
      <c r="C199" s="5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62"/>
      <c r="P199" s="62"/>
      <c r="Q199" s="1"/>
      <c r="R199" s="1"/>
      <c r="S199" s="1"/>
      <c r="T199" s="1"/>
      <c r="U199" s="1"/>
      <c r="V199" s="1"/>
      <c r="W199" s="1"/>
    </row>
    <row r="200" ht="15.75" customHeight="1">
      <c r="A200" s="1"/>
      <c r="B200" s="54"/>
      <c r="C200" s="5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62"/>
      <c r="P200" s="62"/>
      <c r="Q200" s="1"/>
      <c r="R200" s="1"/>
      <c r="S200" s="1"/>
      <c r="T200" s="1"/>
      <c r="U200" s="1"/>
      <c r="V200" s="1"/>
      <c r="W200" s="1"/>
    </row>
    <row r="201" ht="15.75" customHeight="1">
      <c r="A201" s="1"/>
      <c r="B201" s="54"/>
      <c r="C201" s="5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62"/>
      <c r="P201" s="62"/>
      <c r="Q201" s="1"/>
      <c r="R201" s="1"/>
      <c r="S201" s="1"/>
      <c r="T201" s="1"/>
      <c r="U201" s="1"/>
      <c r="V201" s="1"/>
      <c r="W201" s="1"/>
    </row>
    <row r="202" ht="15.75" customHeight="1">
      <c r="A202" s="1"/>
      <c r="B202" s="54"/>
      <c r="C202" s="5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62"/>
      <c r="P202" s="62"/>
      <c r="Q202" s="1"/>
      <c r="R202" s="1"/>
      <c r="S202" s="1"/>
      <c r="T202" s="1"/>
      <c r="U202" s="1"/>
      <c r="V202" s="1"/>
      <c r="W202" s="1"/>
    </row>
    <row r="203" ht="15.75" customHeight="1">
      <c r="A203" s="1"/>
      <c r="B203" s="54"/>
      <c r="C203" s="5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62"/>
      <c r="P203" s="62"/>
      <c r="Q203" s="1"/>
      <c r="R203" s="1"/>
      <c r="S203" s="1"/>
      <c r="T203" s="1"/>
      <c r="U203" s="1"/>
      <c r="V203" s="1"/>
      <c r="W203" s="1"/>
    </row>
    <row r="204" ht="15.75" customHeight="1">
      <c r="A204" s="1"/>
      <c r="B204" s="54"/>
      <c r="C204" s="5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62"/>
      <c r="P204" s="62"/>
      <c r="Q204" s="1"/>
      <c r="R204" s="1"/>
      <c r="S204" s="1"/>
      <c r="T204" s="1"/>
      <c r="U204" s="1"/>
      <c r="V204" s="1"/>
      <c r="W204" s="1"/>
    </row>
    <row r="205" ht="15.75" customHeight="1">
      <c r="A205" s="1"/>
      <c r="B205" s="54"/>
      <c r="C205" s="54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62"/>
      <c r="P205" s="62"/>
      <c r="Q205" s="1"/>
      <c r="R205" s="1"/>
      <c r="S205" s="1"/>
      <c r="T205" s="1"/>
      <c r="U205" s="1"/>
      <c r="V205" s="1"/>
      <c r="W205" s="1"/>
    </row>
    <row r="206" ht="15.75" customHeight="1">
      <c r="A206" s="1"/>
      <c r="B206" s="54"/>
      <c r="C206" s="5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62"/>
      <c r="P206" s="62"/>
      <c r="Q206" s="1"/>
      <c r="R206" s="1"/>
      <c r="S206" s="1"/>
      <c r="T206" s="1"/>
      <c r="U206" s="1"/>
      <c r="V206" s="1"/>
      <c r="W206" s="1"/>
    </row>
    <row r="207" ht="15.75" customHeight="1">
      <c r="A207" s="1"/>
      <c r="B207" s="54"/>
      <c r="C207" s="54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62"/>
      <c r="P207" s="62"/>
      <c r="Q207" s="1"/>
      <c r="R207" s="1"/>
      <c r="S207" s="1"/>
      <c r="T207" s="1"/>
      <c r="U207" s="1"/>
      <c r="V207" s="1"/>
      <c r="W207" s="1"/>
    </row>
    <row r="208" ht="15.75" customHeight="1">
      <c r="A208" s="1"/>
      <c r="B208" s="54"/>
      <c r="C208" s="5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62"/>
      <c r="P208" s="62"/>
      <c r="Q208" s="1"/>
      <c r="R208" s="1"/>
      <c r="S208" s="1"/>
      <c r="T208" s="1"/>
      <c r="U208" s="1"/>
      <c r="V208" s="1"/>
      <c r="W208" s="1"/>
    </row>
    <row r="209" ht="15.75" customHeight="1">
      <c r="A209" s="1"/>
      <c r="B209" s="54"/>
      <c r="C209" s="5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62"/>
      <c r="P209" s="62"/>
      <c r="Q209" s="1"/>
      <c r="R209" s="1"/>
      <c r="S209" s="1"/>
      <c r="T209" s="1"/>
      <c r="U209" s="1"/>
      <c r="V209" s="1"/>
      <c r="W209" s="1"/>
    </row>
    <row r="210" ht="15.75" customHeight="1">
      <c r="A210" s="1"/>
      <c r="B210" s="54"/>
      <c r="C210" s="5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62"/>
      <c r="P210" s="62"/>
      <c r="Q210" s="1"/>
      <c r="R210" s="1"/>
      <c r="S210" s="1"/>
      <c r="T210" s="1"/>
      <c r="U210" s="1"/>
      <c r="V210" s="1"/>
      <c r="W210" s="1"/>
    </row>
    <row r="211" ht="15.75" customHeight="1">
      <c r="A211" s="1"/>
      <c r="B211" s="54"/>
      <c r="C211" s="5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62"/>
      <c r="P211" s="62"/>
      <c r="Q211" s="1"/>
      <c r="R211" s="1"/>
      <c r="S211" s="1"/>
      <c r="T211" s="1"/>
      <c r="U211" s="1"/>
      <c r="V211" s="1"/>
      <c r="W211" s="1"/>
    </row>
    <row r="212" ht="15.75" customHeight="1">
      <c r="A212" s="1"/>
      <c r="B212" s="54"/>
      <c r="C212" s="5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62"/>
      <c r="P212" s="62"/>
      <c r="Q212" s="1"/>
      <c r="R212" s="1"/>
      <c r="S212" s="1"/>
      <c r="T212" s="1"/>
      <c r="U212" s="1"/>
      <c r="V212" s="1"/>
      <c r="W212" s="1"/>
    </row>
    <row r="213" ht="15.75" customHeight="1">
      <c r="A213" s="1"/>
      <c r="B213" s="54"/>
      <c r="C213" s="5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62"/>
      <c r="P213" s="62"/>
      <c r="Q213" s="1"/>
      <c r="R213" s="1"/>
      <c r="S213" s="1"/>
      <c r="T213" s="1"/>
      <c r="U213" s="1"/>
      <c r="V213" s="1"/>
      <c r="W213" s="1"/>
    </row>
    <row r="214" ht="15.75" customHeight="1">
      <c r="A214" s="1"/>
      <c r="B214" s="54"/>
      <c r="C214" s="5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62"/>
      <c r="P214" s="62"/>
      <c r="Q214" s="1"/>
      <c r="R214" s="1"/>
      <c r="S214" s="1"/>
      <c r="T214" s="1"/>
      <c r="U214" s="1"/>
      <c r="V214" s="1"/>
      <c r="W214" s="1"/>
    </row>
    <row r="215" ht="15.75" customHeight="1">
      <c r="A215" s="1"/>
      <c r="B215" s="54"/>
      <c r="C215" s="5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62"/>
      <c r="P215" s="62"/>
      <c r="Q215" s="1"/>
      <c r="R215" s="1"/>
      <c r="S215" s="1"/>
      <c r="T215" s="1"/>
      <c r="U215" s="1"/>
      <c r="V215" s="1"/>
      <c r="W215" s="1"/>
    </row>
    <row r="216" ht="15.75" customHeight="1">
      <c r="A216" s="1"/>
      <c r="B216" s="54"/>
      <c r="C216" s="5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62"/>
      <c r="P216" s="62"/>
      <c r="Q216" s="1"/>
      <c r="R216" s="1"/>
      <c r="S216" s="1"/>
      <c r="T216" s="1"/>
      <c r="U216" s="1"/>
      <c r="V216" s="1"/>
      <c r="W216" s="1"/>
    </row>
    <row r="217" ht="15.75" customHeight="1">
      <c r="A217" s="1"/>
      <c r="B217" s="54"/>
      <c r="C217" s="5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62"/>
      <c r="P217" s="62"/>
      <c r="Q217" s="1"/>
      <c r="R217" s="1"/>
      <c r="S217" s="1"/>
      <c r="T217" s="1"/>
      <c r="U217" s="1"/>
      <c r="V217" s="1"/>
      <c r="W217" s="1"/>
    </row>
    <row r="218" ht="15.75" customHeight="1">
      <c r="A218" s="1"/>
      <c r="B218" s="54"/>
      <c r="C218" s="5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62"/>
      <c r="P218" s="62"/>
      <c r="Q218" s="1"/>
      <c r="R218" s="1"/>
      <c r="S218" s="1"/>
      <c r="T218" s="1"/>
      <c r="U218" s="1"/>
      <c r="V218" s="1"/>
      <c r="W218" s="1"/>
    </row>
    <row r="219" ht="15.75" customHeight="1">
      <c r="A219" s="1"/>
      <c r="B219" s="54"/>
      <c r="C219" s="5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62"/>
      <c r="P219" s="62"/>
      <c r="Q219" s="1"/>
      <c r="R219" s="1"/>
      <c r="S219" s="1"/>
      <c r="T219" s="1"/>
      <c r="U219" s="1"/>
      <c r="V219" s="1"/>
      <c r="W219" s="1"/>
    </row>
    <row r="220" ht="15.75" customHeight="1">
      <c r="A220" s="1"/>
      <c r="B220" s="54"/>
      <c r="C220" s="5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62"/>
      <c r="P220" s="62"/>
      <c r="Q220" s="1"/>
      <c r="R220" s="1"/>
      <c r="S220" s="1"/>
      <c r="T220" s="1"/>
      <c r="U220" s="1"/>
      <c r="V220" s="1"/>
      <c r="W220" s="1"/>
    </row>
    <row r="221" ht="15.75" customHeight="1">
      <c r="A221" s="1"/>
      <c r="B221" s="54"/>
      <c r="C221" s="5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62"/>
      <c r="P221" s="62"/>
      <c r="Q221" s="1"/>
      <c r="R221" s="1"/>
      <c r="S221" s="1"/>
      <c r="T221" s="1"/>
      <c r="U221" s="1"/>
      <c r="V221" s="1"/>
      <c r="W221" s="1"/>
    </row>
    <row r="222" ht="15.75" customHeight="1">
      <c r="A222" s="1"/>
      <c r="B222" s="54"/>
      <c r="C222" s="5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62"/>
      <c r="P222" s="62"/>
      <c r="Q222" s="1"/>
      <c r="R222" s="1"/>
      <c r="S222" s="1"/>
      <c r="T222" s="1"/>
      <c r="U222" s="1"/>
      <c r="V222" s="1"/>
      <c r="W222" s="1"/>
    </row>
    <row r="223" ht="15.75" customHeight="1">
      <c r="A223" s="1"/>
      <c r="B223" s="54"/>
      <c r="C223" s="5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62"/>
      <c r="P223" s="62"/>
      <c r="Q223" s="1"/>
      <c r="R223" s="1"/>
      <c r="S223" s="1"/>
      <c r="T223" s="1"/>
      <c r="U223" s="1"/>
      <c r="V223" s="1"/>
      <c r="W223" s="1"/>
    </row>
    <row r="224" ht="15.75" customHeight="1">
      <c r="A224" s="1"/>
      <c r="B224" s="54"/>
      <c r="C224" s="54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62"/>
      <c r="P224" s="62"/>
      <c r="Q224" s="1"/>
      <c r="R224" s="1"/>
      <c r="S224" s="1"/>
      <c r="T224" s="1"/>
      <c r="U224" s="1"/>
      <c r="V224" s="1"/>
      <c r="W224" s="1"/>
    </row>
    <row r="225" ht="15.75" customHeight="1">
      <c r="A225" s="1"/>
      <c r="B225" s="54"/>
      <c r="C225" s="54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62"/>
      <c r="P225" s="62"/>
      <c r="Q225" s="1"/>
      <c r="R225" s="1"/>
      <c r="S225" s="1"/>
      <c r="T225" s="1"/>
      <c r="U225" s="1"/>
      <c r="V225" s="1"/>
      <c r="W225" s="1"/>
    </row>
    <row r="226" ht="15.75" customHeight="1">
      <c r="A226" s="1"/>
      <c r="B226" s="54"/>
      <c r="C226" s="5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62"/>
      <c r="P226" s="62"/>
      <c r="Q226" s="1"/>
      <c r="R226" s="1"/>
      <c r="S226" s="1"/>
      <c r="T226" s="1"/>
      <c r="U226" s="1"/>
      <c r="V226" s="1"/>
      <c r="W226" s="1"/>
    </row>
    <row r="227" ht="15.75" customHeight="1">
      <c r="A227" s="1"/>
      <c r="B227" s="54"/>
      <c r="C227" s="54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62"/>
      <c r="P227" s="62"/>
      <c r="Q227" s="1"/>
      <c r="R227" s="1"/>
      <c r="S227" s="1"/>
      <c r="T227" s="1"/>
      <c r="U227" s="1"/>
      <c r="V227" s="1"/>
      <c r="W227" s="1"/>
    </row>
    <row r="228" ht="15.75" customHeight="1">
      <c r="A228" s="1"/>
      <c r="B228" s="54"/>
      <c r="C228" s="54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62"/>
      <c r="P228" s="62"/>
      <c r="Q228" s="1"/>
      <c r="R228" s="1"/>
      <c r="S228" s="1"/>
      <c r="T228" s="1"/>
      <c r="U228" s="1"/>
      <c r="V228" s="1"/>
      <c r="W228" s="1"/>
    </row>
    <row r="229" ht="15.75" customHeight="1">
      <c r="A229" s="1"/>
      <c r="B229" s="54"/>
      <c r="C229" s="54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62"/>
      <c r="P229" s="62"/>
      <c r="Q229" s="1"/>
      <c r="R229" s="1"/>
      <c r="S229" s="1"/>
      <c r="T229" s="1"/>
      <c r="U229" s="1"/>
      <c r="V229" s="1"/>
      <c r="W229" s="1"/>
    </row>
    <row r="230" ht="15.75" customHeight="1">
      <c r="A230" s="1"/>
      <c r="B230" s="54"/>
      <c r="C230" s="54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62"/>
      <c r="P230" s="62"/>
      <c r="Q230" s="1"/>
      <c r="R230" s="1"/>
      <c r="S230" s="1"/>
      <c r="T230" s="1"/>
      <c r="U230" s="1"/>
      <c r="V230" s="1"/>
      <c r="W230" s="1"/>
    </row>
    <row r="231" ht="15.75" customHeight="1">
      <c r="A231" s="1"/>
      <c r="B231" s="54"/>
      <c r="C231" s="54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62"/>
      <c r="P231" s="62"/>
      <c r="Q231" s="1"/>
      <c r="R231" s="1"/>
      <c r="S231" s="1"/>
      <c r="T231" s="1"/>
      <c r="U231" s="1"/>
      <c r="V231" s="1"/>
      <c r="W231" s="1"/>
    </row>
    <row r="232" ht="15.75" customHeight="1">
      <c r="A232" s="1"/>
      <c r="B232" s="54"/>
      <c r="C232" s="5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62"/>
      <c r="P232" s="62"/>
      <c r="Q232" s="1"/>
      <c r="R232" s="1"/>
      <c r="S232" s="1"/>
      <c r="T232" s="1"/>
      <c r="U232" s="1"/>
      <c r="V232" s="1"/>
      <c r="W232" s="1"/>
    </row>
    <row r="233" ht="15.75" customHeight="1">
      <c r="A233" s="1"/>
      <c r="B233" s="54"/>
      <c r="C233" s="54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62"/>
      <c r="P233" s="62"/>
      <c r="Q233" s="1"/>
      <c r="R233" s="1"/>
      <c r="S233" s="1"/>
      <c r="T233" s="1"/>
      <c r="U233" s="1"/>
      <c r="V233" s="1"/>
      <c r="W233" s="1"/>
    </row>
    <row r="234" ht="15.75" customHeight="1">
      <c r="A234" s="1"/>
      <c r="B234" s="54"/>
      <c r="C234" s="54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62"/>
      <c r="P234" s="62"/>
      <c r="Q234" s="1"/>
      <c r="R234" s="1"/>
      <c r="S234" s="1"/>
      <c r="T234" s="1"/>
      <c r="U234" s="1"/>
      <c r="V234" s="1"/>
      <c r="W234" s="1"/>
    </row>
    <row r="235" ht="15.75" customHeight="1">
      <c r="A235" s="1"/>
      <c r="B235" s="54"/>
      <c r="C235" s="54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62"/>
      <c r="P235" s="62"/>
      <c r="Q235" s="1"/>
      <c r="R235" s="1"/>
      <c r="S235" s="1"/>
      <c r="T235" s="1"/>
      <c r="U235" s="1"/>
      <c r="V235" s="1"/>
      <c r="W235" s="1"/>
    </row>
    <row r="236" ht="15.75" customHeight="1">
      <c r="A236" s="1"/>
      <c r="B236" s="54"/>
      <c r="C236" s="54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62"/>
      <c r="P236" s="62"/>
      <c r="Q236" s="1"/>
      <c r="R236" s="1"/>
      <c r="S236" s="1"/>
      <c r="T236" s="1"/>
      <c r="U236" s="1"/>
      <c r="V236" s="1"/>
      <c r="W236" s="1"/>
    </row>
    <row r="237" ht="15.75" customHeight="1">
      <c r="A237" s="1"/>
      <c r="B237" s="54"/>
      <c r="C237" s="54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62"/>
      <c r="P237" s="62"/>
      <c r="Q237" s="1"/>
      <c r="R237" s="1"/>
      <c r="S237" s="1"/>
      <c r="T237" s="1"/>
      <c r="U237" s="1"/>
      <c r="V237" s="1"/>
      <c r="W237" s="1"/>
    </row>
    <row r="238" ht="15.75" customHeight="1">
      <c r="A238" s="1"/>
      <c r="B238" s="54"/>
      <c r="C238" s="5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62"/>
      <c r="P238" s="62"/>
      <c r="Q238" s="1"/>
      <c r="R238" s="1"/>
      <c r="S238" s="1"/>
      <c r="T238" s="1"/>
      <c r="U238" s="1"/>
      <c r="V238" s="1"/>
      <c r="W238" s="1"/>
    </row>
    <row r="239" ht="15.75" customHeight="1">
      <c r="A239" s="1"/>
      <c r="B239" s="54"/>
      <c r="C239" s="54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62"/>
      <c r="P239" s="62"/>
      <c r="Q239" s="1"/>
      <c r="R239" s="1"/>
      <c r="S239" s="1"/>
      <c r="T239" s="1"/>
      <c r="U239" s="1"/>
      <c r="V239" s="1"/>
      <c r="W239" s="1"/>
    </row>
    <row r="240" ht="15.75" customHeight="1">
      <c r="A240" s="1"/>
      <c r="B240" s="54"/>
      <c r="C240" s="54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62"/>
      <c r="P240" s="62"/>
      <c r="Q240" s="1"/>
      <c r="R240" s="1"/>
      <c r="S240" s="1"/>
      <c r="T240" s="1"/>
      <c r="U240" s="1"/>
      <c r="V240" s="1"/>
      <c r="W240" s="1"/>
    </row>
    <row r="241" ht="15.75" customHeight="1">
      <c r="A241" s="1"/>
      <c r="B241" s="54"/>
      <c r="C241" s="54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62"/>
      <c r="P241" s="62"/>
      <c r="Q241" s="1"/>
      <c r="R241" s="1"/>
      <c r="S241" s="1"/>
      <c r="T241" s="1"/>
      <c r="U241" s="1"/>
      <c r="V241" s="1"/>
      <c r="W241" s="1"/>
    </row>
    <row r="242" ht="15.75" customHeight="1">
      <c r="A242" s="1"/>
      <c r="B242" s="54"/>
      <c r="C242" s="54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62"/>
      <c r="P242" s="62"/>
      <c r="Q242" s="1"/>
      <c r="R242" s="1"/>
      <c r="S242" s="1"/>
      <c r="T242" s="1"/>
      <c r="U242" s="1"/>
      <c r="V242" s="1"/>
      <c r="W242" s="1"/>
    </row>
    <row r="243" ht="15.75" customHeight="1">
      <c r="A243" s="1"/>
      <c r="B243" s="54"/>
      <c r="C243" s="54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62"/>
      <c r="P243" s="62"/>
      <c r="Q243" s="1"/>
      <c r="R243" s="1"/>
      <c r="S243" s="1"/>
      <c r="T243" s="1"/>
      <c r="U243" s="1"/>
      <c r="V243" s="1"/>
      <c r="W243" s="1"/>
    </row>
    <row r="244" ht="15.75" customHeight="1">
      <c r="A244" s="1"/>
      <c r="B244" s="54"/>
      <c r="C244" s="54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62"/>
      <c r="P244" s="62"/>
      <c r="Q244" s="1"/>
      <c r="R244" s="1"/>
      <c r="S244" s="1"/>
      <c r="T244" s="1"/>
      <c r="U244" s="1"/>
      <c r="V244" s="1"/>
      <c r="W244" s="1"/>
    </row>
    <row r="245" ht="15.75" customHeight="1">
      <c r="A245" s="1"/>
      <c r="B245" s="54"/>
      <c r="C245" s="54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62"/>
      <c r="P245" s="62"/>
      <c r="Q245" s="1"/>
      <c r="R245" s="1"/>
      <c r="S245" s="1"/>
      <c r="T245" s="1"/>
      <c r="U245" s="1"/>
      <c r="V245" s="1"/>
      <c r="W245" s="1"/>
    </row>
    <row r="246" ht="15.75" customHeight="1">
      <c r="A246" s="1"/>
      <c r="B246" s="54"/>
      <c r="C246" s="54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62"/>
      <c r="P246" s="62"/>
      <c r="Q246" s="1"/>
      <c r="R246" s="1"/>
      <c r="S246" s="1"/>
      <c r="T246" s="1"/>
      <c r="U246" s="1"/>
      <c r="V246" s="1"/>
      <c r="W246" s="1"/>
    </row>
    <row r="247" ht="15.75" customHeight="1">
      <c r="A247" s="1"/>
      <c r="B247" s="54"/>
      <c r="C247" s="54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62"/>
      <c r="P247" s="62"/>
      <c r="Q247" s="1"/>
      <c r="R247" s="1"/>
      <c r="S247" s="1"/>
      <c r="T247" s="1"/>
      <c r="U247" s="1"/>
      <c r="V247" s="1"/>
      <c r="W247" s="1"/>
    </row>
    <row r="248" ht="15.75" customHeight="1">
      <c r="A248" s="1"/>
      <c r="B248" s="54"/>
      <c r="C248" s="54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62"/>
      <c r="P248" s="62"/>
      <c r="Q248" s="1"/>
      <c r="R248" s="1"/>
      <c r="S248" s="1"/>
      <c r="T248" s="1"/>
      <c r="U248" s="1"/>
      <c r="V248" s="1"/>
      <c r="W248" s="1"/>
    </row>
    <row r="249" ht="15.75" customHeight="1">
      <c r="A249" s="1"/>
      <c r="B249" s="54"/>
      <c r="C249" s="54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62"/>
      <c r="P249" s="62"/>
      <c r="Q249" s="1"/>
      <c r="R249" s="1"/>
      <c r="S249" s="1"/>
      <c r="T249" s="1"/>
      <c r="U249" s="1"/>
      <c r="V249" s="1"/>
      <c r="W249" s="1"/>
    </row>
    <row r="250" ht="15.75" customHeight="1">
      <c r="A250" s="1"/>
      <c r="B250" s="54"/>
      <c r="C250" s="54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62"/>
      <c r="P250" s="62"/>
      <c r="Q250" s="1"/>
      <c r="R250" s="1"/>
      <c r="S250" s="1"/>
      <c r="T250" s="1"/>
      <c r="U250" s="1"/>
      <c r="V250" s="1"/>
      <c r="W250" s="1"/>
    </row>
    <row r="251" ht="15.75" customHeight="1">
      <c r="A251" s="1"/>
      <c r="B251" s="54"/>
      <c r="C251" s="54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62"/>
      <c r="P251" s="62"/>
      <c r="Q251" s="1"/>
      <c r="R251" s="1"/>
      <c r="S251" s="1"/>
      <c r="T251" s="1"/>
      <c r="U251" s="1"/>
      <c r="V251" s="1"/>
      <c r="W251" s="1"/>
    </row>
    <row r="252" ht="15.75" customHeight="1">
      <c r="A252" s="1"/>
      <c r="B252" s="54"/>
      <c r="C252" s="54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62"/>
      <c r="P252" s="62"/>
      <c r="Q252" s="1"/>
      <c r="R252" s="1"/>
      <c r="S252" s="1"/>
      <c r="T252" s="1"/>
      <c r="U252" s="1"/>
      <c r="V252" s="1"/>
      <c r="W252" s="1"/>
    </row>
    <row r="253" ht="15.75" customHeight="1">
      <c r="A253" s="1"/>
      <c r="B253" s="54"/>
      <c r="C253" s="54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62"/>
      <c r="P253" s="62"/>
      <c r="Q253" s="1"/>
      <c r="R253" s="1"/>
      <c r="S253" s="1"/>
      <c r="T253" s="1"/>
      <c r="U253" s="1"/>
      <c r="V253" s="1"/>
      <c r="W253" s="1"/>
    </row>
    <row r="254" ht="15.75" customHeight="1">
      <c r="A254" s="1"/>
      <c r="B254" s="54"/>
      <c r="C254" s="54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62"/>
      <c r="P254" s="62"/>
      <c r="Q254" s="1"/>
      <c r="R254" s="1"/>
      <c r="S254" s="1"/>
      <c r="T254" s="1"/>
      <c r="U254" s="1"/>
      <c r="V254" s="1"/>
      <c r="W254" s="1"/>
    </row>
    <row r="255" ht="15.75" customHeight="1">
      <c r="A255" s="1"/>
      <c r="B255" s="54"/>
      <c r="C255" s="5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62"/>
      <c r="P255" s="62"/>
      <c r="Q255" s="1"/>
      <c r="R255" s="1"/>
      <c r="S255" s="1"/>
      <c r="T255" s="1"/>
      <c r="U255" s="1"/>
      <c r="V255" s="1"/>
      <c r="W255" s="1"/>
    </row>
    <row r="256" ht="15.75" customHeight="1">
      <c r="A256" s="1"/>
      <c r="B256" s="54"/>
      <c r="C256" s="5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62"/>
      <c r="P256" s="62"/>
      <c r="Q256" s="1"/>
      <c r="R256" s="1"/>
      <c r="S256" s="1"/>
      <c r="T256" s="1"/>
      <c r="U256" s="1"/>
      <c r="V256" s="1"/>
      <c r="W256" s="1"/>
    </row>
    <row r="257" ht="15.75" customHeight="1">
      <c r="A257" s="1"/>
      <c r="B257" s="54"/>
      <c r="C257" s="54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62"/>
      <c r="P257" s="62"/>
      <c r="Q257" s="1"/>
      <c r="R257" s="1"/>
      <c r="S257" s="1"/>
      <c r="T257" s="1"/>
      <c r="U257" s="1"/>
      <c r="V257" s="1"/>
      <c r="W257" s="1"/>
    </row>
    <row r="258" ht="15.75" customHeight="1">
      <c r="A258" s="1"/>
      <c r="B258" s="54"/>
      <c r="C258" s="54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62"/>
      <c r="P258" s="62"/>
      <c r="Q258" s="1"/>
      <c r="R258" s="1"/>
      <c r="S258" s="1"/>
      <c r="T258" s="1"/>
      <c r="U258" s="1"/>
      <c r="V258" s="1"/>
      <c r="W258" s="1"/>
    </row>
    <row r="259" ht="15.75" customHeight="1">
      <c r="A259" s="1"/>
      <c r="B259" s="54"/>
      <c r="C259" s="54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62"/>
      <c r="P259" s="62"/>
      <c r="Q259" s="1"/>
      <c r="R259" s="1"/>
      <c r="S259" s="1"/>
      <c r="T259" s="1"/>
      <c r="U259" s="1"/>
      <c r="V259" s="1"/>
      <c r="W259" s="1"/>
    </row>
    <row r="260" ht="15.75" customHeight="1">
      <c r="A260" s="1"/>
      <c r="B260" s="54"/>
      <c r="C260" s="54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62"/>
      <c r="P260" s="62"/>
      <c r="Q260" s="1"/>
      <c r="R260" s="1"/>
      <c r="S260" s="1"/>
      <c r="T260" s="1"/>
      <c r="U260" s="1"/>
      <c r="V260" s="1"/>
      <c r="W260" s="1"/>
    </row>
    <row r="261" ht="15.75" customHeight="1">
      <c r="A261" s="1"/>
      <c r="B261" s="54"/>
      <c r="C261" s="54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62"/>
      <c r="P261" s="62"/>
      <c r="Q261" s="1"/>
      <c r="R261" s="1"/>
      <c r="S261" s="1"/>
      <c r="T261" s="1"/>
      <c r="U261" s="1"/>
      <c r="V261" s="1"/>
      <c r="W261" s="1"/>
    </row>
    <row r="262" ht="15.75" customHeight="1">
      <c r="A262" s="1"/>
      <c r="B262" s="54"/>
      <c r="C262" s="54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62"/>
      <c r="P262" s="62"/>
      <c r="Q262" s="1"/>
      <c r="R262" s="1"/>
      <c r="S262" s="1"/>
      <c r="T262" s="1"/>
      <c r="U262" s="1"/>
      <c r="V262" s="1"/>
      <c r="W262" s="1"/>
    </row>
    <row r="263" ht="15.75" customHeight="1">
      <c r="A263" s="1"/>
      <c r="B263" s="54"/>
      <c r="C263" s="54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62"/>
      <c r="P263" s="62"/>
      <c r="Q263" s="1"/>
      <c r="R263" s="1"/>
      <c r="S263" s="1"/>
      <c r="T263" s="1"/>
      <c r="U263" s="1"/>
      <c r="V263" s="1"/>
      <c r="W263" s="1"/>
    </row>
    <row r="264" ht="15.75" customHeight="1">
      <c r="A264" s="1"/>
      <c r="B264" s="54"/>
      <c r="C264" s="54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62"/>
      <c r="P264" s="62"/>
      <c r="Q264" s="1"/>
      <c r="R264" s="1"/>
      <c r="S264" s="1"/>
      <c r="T264" s="1"/>
      <c r="U264" s="1"/>
      <c r="V264" s="1"/>
      <c r="W264" s="1"/>
    </row>
    <row r="265" ht="15.75" customHeight="1">
      <c r="A265" s="1"/>
      <c r="B265" s="54"/>
      <c r="C265" s="54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62"/>
      <c r="P265" s="62"/>
      <c r="Q265" s="1"/>
      <c r="R265" s="1"/>
      <c r="S265" s="1"/>
      <c r="T265" s="1"/>
      <c r="U265" s="1"/>
      <c r="V265" s="1"/>
      <c r="W265" s="1"/>
    </row>
    <row r="266" ht="15.75" customHeight="1">
      <c r="A266" s="1"/>
      <c r="B266" s="54"/>
      <c r="C266" s="54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62"/>
      <c r="P266" s="62"/>
      <c r="Q266" s="1"/>
      <c r="R266" s="1"/>
      <c r="S266" s="1"/>
      <c r="T266" s="1"/>
      <c r="U266" s="1"/>
      <c r="V266" s="1"/>
      <c r="W266" s="1"/>
    </row>
    <row r="267" ht="15.75" customHeight="1">
      <c r="A267" s="1"/>
      <c r="B267" s="54"/>
      <c r="C267" s="54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62"/>
      <c r="P267" s="62"/>
      <c r="Q267" s="1"/>
      <c r="R267" s="1"/>
      <c r="S267" s="1"/>
      <c r="T267" s="1"/>
      <c r="U267" s="1"/>
      <c r="V267" s="1"/>
      <c r="W267" s="1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2:R2"/>
    <mergeCell ref="B4:D4"/>
    <mergeCell ref="F4:H4"/>
    <mergeCell ref="B5:C5"/>
    <mergeCell ref="F5:G5"/>
    <mergeCell ref="B6:C6"/>
    <mergeCell ref="B7:C7"/>
    <mergeCell ref="F6:G6"/>
    <mergeCell ref="F7:G7"/>
    <mergeCell ref="B8:C8"/>
    <mergeCell ref="F8:G8"/>
    <mergeCell ref="B9:C9"/>
    <mergeCell ref="F9:G9"/>
    <mergeCell ref="B10:C10"/>
    <mergeCell ref="B15:C15"/>
    <mergeCell ref="B16:C16"/>
    <mergeCell ref="F10:G10"/>
    <mergeCell ref="B12:H12"/>
    <mergeCell ref="B13:D13"/>
    <mergeCell ref="F13:H13"/>
    <mergeCell ref="B14:C14"/>
    <mergeCell ref="F14:G14"/>
    <mergeCell ref="F15:G15"/>
    <mergeCell ref="F16:G16"/>
  </mergeCells>
  <conditionalFormatting sqref="A20:R67">
    <cfRule type="expression" dxfId="0" priority="1">
      <formula>$B20=$D$15</formula>
    </cfRule>
  </conditionalFormatting>
  <conditionalFormatting sqref="A20:R67">
    <cfRule type="expression" dxfId="1" priority="2">
      <formula>$B20=$H$15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2" width="8.63"/>
    <col customWidth="1" min="3" max="3" width="13.13"/>
    <col customWidth="1" min="4" max="7" width="9.13"/>
  </cols>
  <sheetData>
    <row r="1" ht="11.25" customHeight="1">
      <c r="A1" s="3"/>
      <c r="B1" s="3"/>
      <c r="C1" s="3"/>
      <c r="D1" s="3"/>
      <c r="E1" s="3"/>
      <c r="F1" s="3"/>
      <c r="G1" s="3"/>
    </row>
    <row r="2" ht="28.5" customHeight="1">
      <c r="A2" s="3"/>
      <c r="B2" s="3"/>
      <c r="C2" s="3"/>
      <c r="D2" s="3"/>
      <c r="E2" s="3"/>
      <c r="F2" s="3"/>
      <c r="G2" s="3"/>
    </row>
    <row r="3" ht="12.75" customHeight="1">
      <c r="A3" s="9"/>
      <c r="B3" s="3"/>
      <c r="C3" s="9"/>
      <c r="D3" s="3"/>
      <c r="E3" s="3"/>
      <c r="F3" s="3"/>
      <c r="G3" s="3"/>
    </row>
    <row r="4" ht="27.0" customHeight="1">
      <c r="A4" s="16"/>
      <c r="B4" s="3"/>
      <c r="C4" s="3"/>
      <c r="D4" s="3"/>
      <c r="E4" s="3"/>
      <c r="F4" s="3"/>
      <c r="G4" s="3"/>
    </row>
    <row r="5" ht="22.5" customHeight="1">
      <c r="A5" s="16"/>
      <c r="B5" s="3"/>
      <c r="D5" s="3"/>
      <c r="E5" s="3"/>
      <c r="F5" s="3"/>
      <c r="G5" s="3"/>
    </row>
    <row r="6" ht="16.5" customHeight="1">
      <c r="A6" s="16"/>
      <c r="B6" s="3"/>
      <c r="D6" s="3"/>
      <c r="E6" s="3"/>
      <c r="F6" s="3"/>
      <c r="G6" s="3"/>
    </row>
    <row r="7" ht="24.75" customHeight="1">
      <c r="A7" s="16"/>
      <c r="B7" s="3"/>
      <c r="D7" s="3"/>
      <c r="E7" s="3"/>
      <c r="F7" s="3"/>
      <c r="G7" s="3"/>
    </row>
    <row r="8" ht="21.0" customHeight="1">
      <c r="A8" s="16"/>
      <c r="B8" s="3"/>
      <c r="D8" s="3"/>
      <c r="E8" s="3"/>
      <c r="F8" s="3"/>
      <c r="G8" s="3"/>
    </row>
    <row r="9" ht="20.25" customHeight="1">
      <c r="A9" s="9"/>
      <c r="B9" s="3"/>
      <c r="D9" s="3"/>
      <c r="E9" s="3"/>
      <c r="F9" s="3"/>
      <c r="G9" s="3"/>
    </row>
    <row r="10" ht="30.0" customHeight="1">
      <c r="A10" s="16"/>
      <c r="B10" s="3"/>
      <c r="D10" s="3"/>
      <c r="E10" s="3"/>
      <c r="F10" s="3"/>
      <c r="G10" s="3"/>
    </row>
    <row r="11" ht="28.5" customHeight="1">
      <c r="B11" s="3"/>
      <c r="D11" s="3"/>
      <c r="E11" s="3"/>
      <c r="F11" s="3"/>
      <c r="G11" s="3"/>
    </row>
    <row r="12" ht="22.5" customHeight="1">
      <c r="A12" s="3"/>
      <c r="B12" s="3"/>
      <c r="C12" s="3"/>
      <c r="D12" s="3"/>
      <c r="E12" s="3"/>
      <c r="F12" s="3"/>
      <c r="G12" s="3"/>
    </row>
    <row r="13" ht="21.0" customHeight="1">
      <c r="A13" s="3"/>
      <c r="B13" s="3"/>
      <c r="C13" s="3"/>
      <c r="D13" s="3"/>
      <c r="E13" s="3"/>
      <c r="F13" s="3"/>
      <c r="G13" s="3"/>
    </row>
    <row r="14" ht="24.0" customHeight="1">
      <c r="A14" s="3"/>
      <c r="B14" s="3"/>
      <c r="C14" s="3"/>
      <c r="D14" s="3"/>
      <c r="E14" s="3"/>
      <c r="F14" s="3"/>
      <c r="G14" s="3"/>
    </row>
    <row r="15" ht="20.25" customHeight="1">
      <c r="A15" s="3"/>
      <c r="B15" s="3"/>
      <c r="C15" s="3"/>
      <c r="D15" s="3"/>
      <c r="E15" s="3"/>
      <c r="F15" s="3"/>
      <c r="G15" s="3"/>
    </row>
    <row r="16" ht="24.0" customHeight="1">
      <c r="A16" s="3"/>
      <c r="B16" s="3"/>
      <c r="C16" s="3"/>
      <c r="D16" s="3"/>
      <c r="E16" s="3"/>
      <c r="F16" s="3"/>
      <c r="G16" s="3"/>
    </row>
    <row r="17" ht="26.25" customHeight="1">
      <c r="A17" s="3"/>
      <c r="B17" s="3"/>
      <c r="C17" s="3"/>
      <c r="D17" s="3"/>
      <c r="E17" s="3"/>
      <c r="F17" s="3"/>
      <c r="G17" s="3"/>
    </row>
    <row r="18" ht="17.25" customHeight="1">
      <c r="A18" s="3"/>
      <c r="B18" s="3"/>
      <c r="C18" s="3"/>
      <c r="D18" s="3"/>
      <c r="E18" s="3"/>
      <c r="F18" s="3"/>
      <c r="G18" s="3"/>
    </row>
    <row r="19" ht="17.25" customHeight="1">
      <c r="A19" s="3"/>
      <c r="B19" s="3"/>
      <c r="C19" s="3"/>
      <c r="D19" s="3"/>
      <c r="E19" s="3"/>
      <c r="F19" s="3"/>
      <c r="G19" s="3"/>
    </row>
    <row r="20" ht="17.25" customHeight="1">
      <c r="A20" s="3"/>
      <c r="B20" s="3"/>
      <c r="C20" s="3"/>
      <c r="D20" s="3"/>
      <c r="E20" s="3"/>
      <c r="F20" s="3"/>
      <c r="G20" s="3"/>
    </row>
    <row r="21" ht="62.25" customHeight="1">
      <c r="A21" s="88" t="s">
        <v>39</v>
      </c>
      <c r="B21" s="88" t="s">
        <v>40</v>
      </c>
      <c r="C21" s="88" t="s">
        <v>41</v>
      </c>
      <c r="D21" s="3" t="s">
        <v>42</v>
      </c>
      <c r="E21" s="3"/>
      <c r="F21" s="3"/>
      <c r="G21" s="3"/>
    </row>
    <row r="22" ht="15.75" customHeight="1">
      <c r="A22" s="89"/>
      <c r="B22" s="90"/>
      <c r="C22" s="91"/>
      <c r="D22" s="1"/>
      <c r="E22" s="1"/>
      <c r="F22" s="1"/>
      <c r="G22" s="1"/>
    </row>
    <row r="23" ht="15.75" customHeight="1">
      <c r="A23" s="92">
        <f>'Traditional FIRE'!D9+'Traditional FIRE'!L21</f>
        <v>192999.48</v>
      </c>
      <c r="B23" s="90">
        <f>IFERROR(A23/'Traditional FIRE'!N21, 0)</f>
        <v>1</v>
      </c>
      <c r="C23" s="93">
        <f>'Traditional FIRE'!O21</f>
        <v>0</v>
      </c>
      <c r="D23" s="94">
        <f>IFERROR(C23/'Traditional FIRE'!N21, 0)</f>
        <v>0</v>
      </c>
      <c r="E23" s="1"/>
      <c r="F23" s="1"/>
      <c r="G23" s="1"/>
    </row>
    <row r="24" ht="15.75" customHeight="1">
      <c r="A24" s="92">
        <f>A23+'Traditional FIRE'!L22 </f>
        <v>226707.96</v>
      </c>
      <c r="B24" s="90">
        <f>IFERROR(A24/'Traditional FIRE'!N22, 0)</f>
        <v>0.9626168224</v>
      </c>
      <c r="C24" s="93">
        <f>C23+'Traditional FIRE'!O22 </f>
        <v>8804.192621</v>
      </c>
      <c r="D24" s="94">
        <f>IFERROR(C24/'Traditional FIRE'!N22, 0)</f>
        <v>0.03738317757</v>
      </c>
      <c r="E24" s="1"/>
      <c r="F24" s="1"/>
      <c r="G24" s="1"/>
    </row>
    <row r="25" ht="15.75" customHeight="1">
      <c r="A25" s="92">
        <f>A24+'Traditional FIRE'!L23 </f>
        <v>260416.44</v>
      </c>
      <c r="B25" s="90">
        <f>IFERROR(A25/'Traditional FIRE'!N23, 0)</f>
        <v>0.9311368283</v>
      </c>
      <c r="C25" s="93">
        <f>C24+'Traditional FIRE'!O23 </f>
        <v>19259.36282</v>
      </c>
      <c r="D25" s="94">
        <f>IFERROR(C25/'Traditional FIRE'!N23, 0)</f>
        <v>0.06886317167</v>
      </c>
      <c r="E25" s="1"/>
      <c r="F25" s="1"/>
      <c r="G25" s="1"/>
    </row>
    <row r="26" ht="15.75" customHeight="1">
      <c r="A26" s="92">
        <f>A25+'Traditional FIRE'!L24 </f>
        <v>294124.92</v>
      </c>
      <c r="B26" s="90">
        <f>IFERROR(A26/'Traditional FIRE'!N24, 0)</f>
        <v>0.9034581867</v>
      </c>
      <c r="C26" s="93">
        <f>C25+'Traditional FIRE'!O24 </f>
        <v>31429.62623</v>
      </c>
      <c r="D26" s="94">
        <f>IFERROR(C26/'Traditional FIRE'!N24, 0)</f>
        <v>0.09654181333</v>
      </c>
      <c r="E26" s="1"/>
      <c r="F26" s="1"/>
      <c r="G26" s="1"/>
    </row>
    <row r="27" ht="15.75" customHeight="1">
      <c r="A27" s="92">
        <f>A26+'Traditional FIRE'!L25 </f>
        <v>327833.4</v>
      </c>
      <c r="B27" s="90">
        <f>IFERROR(A27/'Traditional FIRE'!N25, 0)</f>
        <v>0.8784036284</v>
      </c>
      <c r="C27" s="93">
        <f>C26+'Traditional FIRE'!O25 </f>
        <v>45381.58841</v>
      </c>
      <c r="D27" s="94">
        <f>IFERROR(C27/'Traditional FIRE'!N25, 0)</f>
        <v>0.1215963716</v>
      </c>
      <c r="E27" s="1"/>
      <c r="F27" s="1"/>
      <c r="G27" s="1"/>
    </row>
    <row r="28" ht="15.75" customHeight="1">
      <c r="A28" s="92">
        <f>A27+'Traditional FIRE'!L26 </f>
        <v>361541.88</v>
      </c>
      <c r="B28" s="90">
        <f>IFERROR(A28/'Traditional FIRE'!N26, 0)</f>
        <v>0.8552622857</v>
      </c>
      <c r="C28" s="93">
        <f>C27+'Traditional FIRE'!O26 </f>
        <v>61184.44156</v>
      </c>
      <c r="D28" s="94">
        <f>IFERROR(C28/'Traditional FIRE'!N26, 0)</f>
        <v>0.1447377143</v>
      </c>
      <c r="E28" s="1"/>
      <c r="F28" s="1"/>
      <c r="G28" s="1"/>
    </row>
    <row r="29" ht="15.75" customHeight="1">
      <c r="A29" s="92">
        <f>A28+'Traditional FIRE'!L27 </f>
        <v>395250.36</v>
      </c>
      <c r="B29" s="90">
        <f>IFERROR(A29/'Traditional FIRE'!N27, 0)</f>
        <v>0.8335793947</v>
      </c>
      <c r="C29" s="93">
        <f>C28+'Traditional FIRE'!O27 </f>
        <v>78910.06492</v>
      </c>
      <c r="D29" s="94">
        <f>IFERROR(C29/'Traditional FIRE'!N27, 0)</f>
        <v>0.1664206053</v>
      </c>
      <c r="E29" s="1"/>
      <c r="F29" s="1"/>
      <c r="G29" s="1"/>
    </row>
    <row r="30" ht="15.75" customHeight="1">
      <c r="A30" s="92">
        <f>A29+'Traditional FIRE'!L28 </f>
        <v>428958.84</v>
      </c>
      <c r="B30" s="90">
        <f>IFERROR(A30/'Traditional FIRE'!N28, 0)</f>
        <v>0.8130503591</v>
      </c>
      <c r="C30" s="93">
        <f>C29+'Traditional FIRE'!O28 </f>
        <v>98633.12919</v>
      </c>
      <c r="D30" s="94">
        <f>IFERROR(C30/'Traditional FIRE'!N28, 0)</f>
        <v>0.1869496409</v>
      </c>
      <c r="E30" s="1"/>
      <c r="F30" s="1"/>
      <c r="G30" s="1"/>
    </row>
    <row r="31" ht="15.75" customHeight="1">
      <c r="A31" s="92">
        <f>A30+'Traditional FIRE'!L29 </f>
        <v>462667.32</v>
      </c>
      <c r="B31" s="90">
        <f>IFERROR(A31/'Traditional FIRE'!N29, 0)</f>
        <v>0.793463369</v>
      </c>
      <c r="C31" s="93">
        <f>C30+'Traditional FIRE'!O29 </f>
        <v>120431.2049</v>
      </c>
      <c r="D31" s="94">
        <f>IFERROR(C31/'Traditional FIRE'!N29, 0)</f>
        <v>0.206536631</v>
      </c>
      <c r="E31" s="1"/>
      <c r="F31" s="1"/>
      <c r="G31" s="1"/>
    </row>
    <row r="32" ht="15.75" customHeight="1">
      <c r="A32" s="92">
        <f>A31+'Traditional FIRE'!L30 </f>
        <v>496375.8</v>
      </c>
      <c r="B32" s="90">
        <f>IFERROR(A32/'Traditional FIRE'!N30, 0)</f>
        <v>0.7746664541</v>
      </c>
      <c r="C32" s="93">
        <f>C31+'Traditional FIRE'!O30 </f>
        <v>144384.875</v>
      </c>
      <c r="D32" s="94">
        <f>IFERROR(C32/'Traditional FIRE'!N30, 0)</f>
        <v>0.2253335459</v>
      </c>
      <c r="E32" s="1"/>
      <c r="F32" s="1"/>
      <c r="G32" s="1"/>
    </row>
    <row r="33" ht="15.75" customHeight="1">
      <c r="A33" s="92">
        <f>A32+'Traditional FIRE'!L31 </f>
        <v>530084.28</v>
      </c>
      <c r="B33" s="90">
        <f>IFERROR(A33/'Traditional FIRE'!N31, 0)</f>
        <v>0.7565476367</v>
      </c>
      <c r="C33" s="93">
        <f>C32+'Traditional FIRE'!O31 </f>
        <v>170577.8519</v>
      </c>
      <c r="D33" s="94">
        <f>IFERROR(C33/'Traditional FIRE'!N31, 0)</f>
        <v>0.2434523633</v>
      </c>
      <c r="E33" s="1"/>
      <c r="F33" s="1"/>
      <c r="G33" s="1"/>
    </row>
    <row r="34" ht="15.75" customHeight="1">
      <c r="A34" s="92">
        <f>A33+'Traditional FIRE'!L32 </f>
        <v>563792.76</v>
      </c>
      <c r="B34" s="90">
        <f>IFERROR(A34/'Traditional FIRE'!N32, 0)</f>
        <v>0.7390224859</v>
      </c>
      <c r="C34" s="93">
        <f>C33+'Traditional FIRE'!O32 </f>
        <v>199097.0989</v>
      </c>
      <c r="D34" s="94">
        <f>IFERROR(C34/'Traditional FIRE'!N32, 0)</f>
        <v>0.2609775141</v>
      </c>
      <c r="E34" s="1"/>
      <c r="F34" s="1"/>
      <c r="G34" s="1"/>
    </row>
    <row r="35" ht="15.75" customHeight="1">
      <c r="A35" s="92">
        <f>A34+'Traditional FIRE'!L33 </f>
        <v>597501.24</v>
      </c>
      <c r="B35" s="90">
        <f>IFERROR(A35/'Traditional FIRE'!N33, 0)</f>
        <v>0.7220260412</v>
      </c>
      <c r="C35" s="93">
        <f>C34+'Traditional FIRE'!O33 </f>
        <v>230032.9568</v>
      </c>
      <c r="D35" s="94">
        <f>IFERROR(C35/'Traditional FIRE'!N33, 0)</f>
        <v>0.2779739588</v>
      </c>
      <c r="E35" s="1"/>
      <c r="F35" s="1"/>
      <c r="G35" s="1"/>
    </row>
    <row r="36" ht="15.75" customHeight="1">
      <c r="A36" s="92">
        <f>A35+'Traditional FIRE'!L34 </f>
        <v>631209.72</v>
      </c>
      <c r="B36" s="90">
        <f>IFERROR(A36/'Traditional FIRE'!N34, 0)</f>
        <v>0.7055074155</v>
      </c>
      <c r="C36" s="93">
        <f>C35+'Traditional FIRE'!O34 </f>
        <v>263479.2743</v>
      </c>
      <c r="D36" s="94">
        <f>IFERROR(C36/'Traditional FIRE'!N34, 0)</f>
        <v>0.2944925845</v>
      </c>
      <c r="E36" s="1"/>
      <c r="F36" s="1"/>
      <c r="G36" s="1"/>
    </row>
    <row r="37" ht="15.75" customHeight="1">
      <c r="A37" s="92">
        <f>A36+'Traditional FIRE'!L35 </f>
        <v>664918.2</v>
      </c>
      <c r="B37" s="90">
        <f>IFERROR(A37/'Traditional FIRE'!N35, 0)</f>
        <v>0.6894260945</v>
      </c>
      <c r="C37" s="93">
        <f>C36+'Traditional FIRE'!O35 </f>
        <v>299533.5451</v>
      </c>
      <c r="D37" s="94">
        <f>IFERROR(C37/'Traditional FIRE'!N35, 0)</f>
        <v>0.3105739055</v>
      </c>
      <c r="E37" s="1"/>
      <c r="F37" s="1"/>
      <c r="G37" s="1"/>
    </row>
    <row r="38" ht="15.75" customHeight="1">
      <c r="A38" s="92">
        <f>A37+'Traditional FIRE'!L36 </f>
        <v>698626.68</v>
      </c>
      <c r="B38" s="90">
        <f>IFERROR(A38/'Traditional FIRE'!N36, 0)</f>
        <v>0.6737493419</v>
      </c>
      <c r="C38" s="93">
        <f>C37+'Traditional FIRE'!O36 </f>
        <v>338297.049</v>
      </c>
      <c r="D38" s="94">
        <f>IFERROR(C38/'Traditional FIRE'!N36, 0)</f>
        <v>0.3262506581</v>
      </c>
      <c r="E38" s="1"/>
      <c r="F38" s="1"/>
      <c r="G38" s="1"/>
    </row>
    <row r="39" ht="15.75" customHeight="1">
      <c r="A39" s="92">
        <f>A38+'Traditional FIRE'!L37 </f>
        <v>732335.16</v>
      </c>
      <c r="B39" s="90">
        <f>IFERROR(A39/'Traditional FIRE'!N37, 0)</f>
        <v>0.6584503424</v>
      </c>
      <c r="C39" s="93">
        <f>C38+'Traditional FIRE'!O37 </f>
        <v>379874.9989</v>
      </c>
      <c r="D39" s="94">
        <f>IFERROR(C39/'Traditional FIRE'!N37, 0)</f>
        <v>0.3415496576</v>
      </c>
      <c r="E39" s="1"/>
      <c r="F39" s="1"/>
      <c r="G39" s="1"/>
    </row>
    <row r="40" ht="15.75" customHeight="1">
      <c r="A40" s="92">
        <f>A39+'Traditional FIRE'!L38 </f>
        <v>766043.64</v>
      </c>
      <c r="B40" s="90">
        <f>IFERROR(A40/'Traditional FIRE'!N38, 0)</f>
        <v>0.6435068508</v>
      </c>
      <c r="C40" s="93">
        <f>C39+'Traditional FIRE'!O38 </f>
        <v>424376.6936</v>
      </c>
      <c r="D40" s="94">
        <f>IFERROR(C40/'Traditional FIRE'!N38, 0)</f>
        <v>0.3564931492</v>
      </c>
      <c r="E40" s="1"/>
      <c r="F40" s="1"/>
      <c r="G40" s="1"/>
    </row>
    <row r="41" ht="15.75" customHeight="1">
      <c r="A41" s="92">
        <f>A40+'Traditional FIRE'!L39 </f>
        <v>799752.12</v>
      </c>
      <c r="B41" s="90">
        <f>IFERROR(A41/'Traditional FIRE'!N39, 0)</f>
        <v>0.6289001908</v>
      </c>
      <c r="C41" s="93">
        <f>C40+'Traditional FIRE'!O39 </f>
        <v>471915.6767</v>
      </c>
      <c r="D41" s="94">
        <f>IFERROR(C41/'Traditional FIRE'!N39, 0)</f>
        <v>0.3710998092</v>
      </c>
      <c r="E41" s="1"/>
      <c r="F41" s="1"/>
      <c r="G41" s="1"/>
    </row>
    <row r="42" ht="15.75" customHeight="1">
      <c r="A42" s="92">
        <f>A41+'Traditional FIRE'!L40 </f>
        <v>833460.6</v>
      </c>
      <c r="B42" s="90">
        <f>IFERROR(A42/'Traditional FIRE'!N40, 0)</f>
        <v>0.6146145052</v>
      </c>
      <c r="C42" s="93">
        <f>C41+'Traditional FIRE'!O40 </f>
        <v>522609.901</v>
      </c>
      <c r="D42" s="94">
        <f>IFERROR(C42/'Traditional FIRE'!N40, 0)</f>
        <v>0.3853854948</v>
      </c>
      <c r="E42" s="1"/>
      <c r="F42" s="1"/>
      <c r="G42" s="1"/>
    </row>
    <row r="43" ht="15.75" customHeight="1">
      <c r="A43" s="92">
        <f>A42+'Traditional FIRE'!L41 </f>
        <v>867169.08</v>
      </c>
      <c r="B43" s="90">
        <f>IFERROR(A43/'Traditional FIRE'!N41, 0)</f>
        <v>0.6006361844</v>
      </c>
      <c r="C43" s="93">
        <f>C42+'Traditional FIRE'!O41 </f>
        <v>576581.9003</v>
      </c>
      <c r="D43" s="94">
        <f>IFERROR(C43/'Traditional FIRE'!N41, 0)</f>
        <v>0.3993638156</v>
      </c>
      <c r="E43" s="1"/>
      <c r="F43" s="1"/>
      <c r="G43" s="1"/>
    </row>
    <row r="44" ht="15.75" customHeight="1">
      <c r="A44" s="92">
        <f>A43+'Traditional FIRE'!L42 </f>
        <v>900877.56</v>
      </c>
      <c r="B44" s="90">
        <f>IFERROR(A44/'Traditional FIRE'!N42, 0)</f>
        <v>0.5869534275</v>
      </c>
      <c r="C44" s="93">
        <f>C43+'Traditional FIRE'!O42 </f>
        <v>633958.9667</v>
      </c>
      <c r="D44" s="94">
        <f>IFERROR(C44/'Traditional FIRE'!N42, 0)</f>
        <v>0.4130465725</v>
      </c>
      <c r="E44" s="1"/>
      <c r="F44" s="1"/>
      <c r="G44" s="1"/>
    </row>
    <row r="45" ht="15.75" customHeight="1">
      <c r="A45" s="92">
        <f>A44+'Traditional FIRE'!L43 </f>
        <v>934586.04</v>
      </c>
      <c r="B45" s="90">
        <f>IFERROR(A45/'Traditional FIRE'!N43, 0)</f>
        <v>0.5735559007</v>
      </c>
      <c r="C45" s="93">
        <f>C44+'Traditional FIRE'!O43 </f>
        <v>694873.3359</v>
      </c>
      <c r="D45" s="94">
        <f>IFERROR(C45/'Traditional FIRE'!N43, 0)</f>
        <v>0.4264440993</v>
      </c>
      <c r="E45" s="1"/>
      <c r="F45" s="1"/>
      <c r="G45" s="1"/>
    </row>
    <row r="46" ht="15.75" customHeight="1">
      <c r="A46" s="92">
        <f>A45+'Traditional FIRE'!L44 </f>
        <v>968294.52</v>
      </c>
      <c r="B46" s="90">
        <f>IFERROR(A46/'Traditional FIRE'!N44, 0)</f>
        <v>0.5604344689</v>
      </c>
      <c r="C46" s="93">
        <f>C45+'Traditional FIRE'!O44 </f>
        <v>759462.3788</v>
      </c>
      <c r="D46" s="94">
        <f>IFERROR(C46/'Traditional FIRE'!N44, 0)</f>
        <v>0.4395655311</v>
      </c>
      <c r="E46" s="1"/>
      <c r="F46" s="1"/>
      <c r="G46" s="1"/>
    </row>
    <row r="47" ht="15.75" customHeight="1">
      <c r="A47" s="92">
        <f>A46+'Traditional FIRE'!L45 </f>
        <v>1002003</v>
      </c>
      <c r="B47" s="90">
        <f>IFERROR(A47/'Traditional FIRE'!N45, 0)</f>
        <v>0.5475809832</v>
      </c>
      <c r="C47" s="93">
        <f>C46+'Traditional FIRE'!O45 </f>
        <v>827868.8013</v>
      </c>
      <c r="D47" s="94">
        <f>IFERROR(C47/'Traditional FIRE'!N45, 0)</f>
        <v>0.4524190168</v>
      </c>
      <c r="E47" s="1"/>
      <c r="F47" s="1"/>
      <c r="G47" s="1"/>
    </row>
    <row r="48" ht="15.75" customHeight="1">
      <c r="A48" s="92">
        <f>A47+'Traditional FIRE'!L46 </f>
        <v>1035711.48</v>
      </c>
      <c r="B48" s="90">
        <f>IFERROR(A48/'Traditional FIRE'!N46, 0)</f>
        <v>0.5349881107</v>
      </c>
      <c r="C48" s="93">
        <f>C47+'Traditional FIRE'!O46 </f>
        <v>900240.8511</v>
      </c>
      <c r="D48" s="94">
        <f>IFERROR(C48/'Traditional FIRE'!N46, 0)</f>
        <v>0.4650118893</v>
      </c>
      <c r="E48" s="1"/>
      <c r="F48" s="1"/>
      <c r="G48" s="1"/>
    </row>
    <row r="49" ht="15.75" customHeight="1">
      <c r="A49" s="92">
        <f>A48+'Traditional FIRE'!L47 </f>
        <v>1069419.96</v>
      </c>
      <c r="B49" s="90">
        <f>IFERROR(A49/'Traditional FIRE'!N47, 0)</f>
        <v>0.5226491983</v>
      </c>
      <c r="C49" s="93">
        <f>C48+'Traditional FIRE'!O47 </f>
        <v>976732.533</v>
      </c>
      <c r="D49" s="94">
        <f>IFERROR(C49/'Traditional FIRE'!N47, 0)</f>
        <v>0.4773508017</v>
      </c>
      <c r="E49" s="1"/>
      <c r="F49" s="1"/>
      <c r="G49" s="1"/>
    </row>
    <row r="50" ht="15.75" customHeight="1">
      <c r="A50" s="92">
        <f>A49+'Traditional FIRE'!L48 </f>
        <v>1103128.44</v>
      </c>
      <c r="B50" s="90">
        <f>IFERROR(A50/'Traditional FIRE'!N48, 0)</f>
        <v>0.5105581611</v>
      </c>
      <c r="C50" s="93">
        <f>C49+'Traditional FIRE'!O48 </f>
        <v>1057503.833</v>
      </c>
      <c r="D50" s="94">
        <f>IFERROR(C50/'Traditional FIRE'!N48, 0)</f>
        <v>0.4894418389</v>
      </c>
      <c r="E50" s="1"/>
      <c r="F50" s="1"/>
      <c r="G50" s="1"/>
    </row>
    <row r="51" ht="15.75" customHeight="1">
      <c r="A51" s="92">
        <f>A50+'Traditional FIRE'!L49 </f>
        <v>1136836.92</v>
      </c>
      <c r="B51" s="90">
        <f>IFERROR(A51/'Traditional FIRE'!N49, 0)</f>
        <v>0.4987093924</v>
      </c>
      <c r="C51" s="93">
        <f>C50+'Traditional FIRE'!O49 </f>
        <v>1142720.95</v>
      </c>
      <c r="D51" s="94">
        <f>IFERROR(C51/'Traditional FIRE'!N49, 0)</f>
        <v>0.5012906076</v>
      </c>
      <c r="E51" s="1"/>
      <c r="F51" s="1"/>
      <c r="G51" s="1"/>
    </row>
    <row r="52" ht="15.75" customHeight="1">
      <c r="A52" s="92">
        <f>A51+'Traditional FIRE'!L50 </f>
        <v>1170545.4</v>
      </c>
      <c r="B52" s="90">
        <f>IFERROR(A52/'Traditional FIRE'!N50, 0)</f>
        <v>0.4870976892</v>
      </c>
      <c r="C52" s="93">
        <f>C51+'Traditional FIRE'!O50 </f>
        <v>1232556.536</v>
      </c>
      <c r="D52" s="94">
        <f>IFERROR(C52/'Traditional FIRE'!N50, 0)</f>
        <v>0.5129023108</v>
      </c>
      <c r="E52" s="1"/>
      <c r="F52" s="1"/>
      <c r="G52" s="1"/>
    </row>
    <row r="53" ht="15.75" customHeight="1">
      <c r="A53" s="92">
        <f>A52+'Traditional FIRE'!L51 </f>
        <v>1204253.88</v>
      </c>
      <c r="B53" s="90">
        <f>IFERROR(A53/'Traditional FIRE'!N51, 0)</f>
        <v>0.4757181912</v>
      </c>
      <c r="C53" s="93">
        <f>C52+'Traditional FIRE'!O51 </f>
        <v>1327189.95</v>
      </c>
      <c r="D53" s="94">
        <f>IFERROR(C53/'Traditional FIRE'!N51, 0)</f>
        <v>0.5242818088</v>
      </c>
      <c r="E53" s="1"/>
      <c r="F53" s="1"/>
      <c r="G53" s="1"/>
    </row>
    <row r="54" ht="15.75" customHeight="1">
      <c r="A54" s="92">
        <f>A53+'Traditional FIRE'!L52 </f>
        <v>1237962.36</v>
      </c>
      <c r="B54" s="90">
        <f>IFERROR(A54/'Traditional FIRE'!N52, 0)</f>
        <v>0.4645663295</v>
      </c>
      <c r="C54" s="93">
        <f>C53+'Traditional FIRE'!O52 </f>
        <v>1426807.516</v>
      </c>
      <c r="D54" s="94">
        <f>IFERROR(C54/'Traditional FIRE'!N52, 0)</f>
        <v>0.5354336705</v>
      </c>
      <c r="E54" s="1"/>
      <c r="F54" s="1"/>
      <c r="G54" s="1"/>
    </row>
    <row r="55" ht="15.75" customHeight="1">
      <c r="A55" s="92">
        <f>A54+'Traditional FIRE'!L53 </f>
        <v>1271670.84</v>
      </c>
      <c r="B55" s="90">
        <f>IFERROR(A55/'Traditional FIRE'!N53, 0)</f>
        <v>0.4536377847</v>
      </c>
      <c r="C55" s="93">
        <f>C54+'Traditional FIRE'!O53 </f>
        <v>1531602.792</v>
      </c>
      <c r="D55" s="94">
        <f>IFERROR(C55/'Traditional FIRE'!N53, 0)</f>
        <v>0.5463622153</v>
      </c>
      <c r="E55" s="1"/>
      <c r="F55" s="1"/>
      <c r="G55" s="1"/>
    </row>
    <row r="56" ht="15.75" customHeight="1">
      <c r="A56" s="92">
        <f>A55+'Traditional FIRE'!L54 </f>
        <v>1305379.32</v>
      </c>
      <c r="B56" s="90">
        <f>IFERROR(A56/'Traditional FIRE'!N54, 0)</f>
        <v>0.4429284513</v>
      </c>
      <c r="C56" s="93">
        <f>C55+'Traditional FIRE'!O54 </f>
        <v>1641776.854</v>
      </c>
      <c r="D56" s="94">
        <f>IFERROR(C56/'Traditional FIRE'!N54, 0)</f>
        <v>0.5570715487</v>
      </c>
      <c r="E56" s="1"/>
      <c r="F56" s="1"/>
      <c r="G56" s="1"/>
    </row>
    <row r="57" ht="15.75" customHeight="1">
      <c r="A57" s="92">
        <f>A56+'Traditional FIRE'!L55 </f>
        <v>1339087.8</v>
      </c>
      <c r="B57" s="90">
        <f>IFERROR(A57/'Traditional FIRE'!N55, 0)</f>
        <v>0.4324344083</v>
      </c>
      <c r="C57" s="93">
        <f>C56+'Traditional FIRE'!O55 </f>
        <v>1757538.588</v>
      </c>
      <c r="D57" s="94">
        <f>IFERROR(C57/'Traditional FIRE'!N55, 0)</f>
        <v>0.5675655917</v>
      </c>
      <c r="E57" s="1"/>
      <c r="F57" s="1"/>
      <c r="G57" s="1"/>
    </row>
    <row r="58" ht="15.75" customHeight="1">
      <c r="A58" s="92">
        <f>A57+'Traditional FIRE'!L56 </f>
        <v>1372796.28</v>
      </c>
      <c r="B58" s="90">
        <f>IFERROR(A58/'Traditional FIRE'!N56, 0)</f>
        <v>0.4221518938</v>
      </c>
      <c r="C58" s="93">
        <f>C57+'Traditional FIRE'!O56 </f>
        <v>1879104.991</v>
      </c>
      <c r="D58" s="94">
        <f>IFERROR(C58/'Traditional FIRE'!N56, 0)</f>
        <v>0.5778481062</v>
      </c>
      <c r="E58" s="1"/>
      <c r="F58" s="1"/>
      <c r="G58" s="1"/>
    </row>
    <row r="59" ht="15.75" customHeight="1">
      <c r="A59" s="92">
        <f>A58+'Traditional FIRE'!L57 </f>
        <v>1406504.76</v>
      </c>
      <c r="B59" s="90">
        <f>IFERROR(A59/'Traditional FIRE'!N57, 0)</f>
        <v>0.4120772841</v>
      </c>
      <c r="C59" s="93">
        <f>C58+'Traditional FIRE'!O57 </f>
        <v>2006701.486</v>
      </c>
      <c r="D59" s="94">
        <f>IFERROR(C59/'Traditional FIRE'!N57, 0)</f>
        <v>0.5879227159</v>
      </c>
      <c r="E59" s="1"/>
      <c r="F59" s="1"/>
      <c r="G59" s="1"/>
    </row>
    <row r="60" ht="15.75" customHeight="1">
      <c r="A60" s="92">
        <f>A59+'Traditional FIRE'!L58 </f>
        <v>1440213.24</v>
      </c>
      <c r="B60" s="90">
        <f>IFERROR(A60/'Traditional FIRE'!N58, 0)</f>
        <v>0.4022070759</v>
      </c>
      <c r="C60" s="93">
        <f>C59+'Traditional FIRE'!O58 </f>
        <v>2140562.252</v>
      </c>
      <c r="D60" s="94">
        <f>IFERROR(C60/'Traditional FIRE'!N58, 0)</f>
        <v>0.5977929241</v>
      </c>
      <c r="E60" s="1"/>
      <c r="F60" s="1"/>
      <c r="G60" s="1"/>
    </row>
    <row r="61" ht="15.75" customHeight="1">
      <c r="A61" s="92">
        <f>A60+'Traditional FIRE'!L59 </f>
        <v>1473921.72</v>
      </c>
      <c r="B61" s="90">
        <f>IFERROR(A61/'Traditional FIRE'!N59, 0)</f>
        <v>0.3925378708</v>
      </c>
      <c r="C61" s="93">
        <f>C60+'Traditional FIRE'!O59 </f>
        <v>2280930.562</v>
      </c>
      <c r="D61" s="94">
        <f>IFERROR(C61/'Traditional FIRE'!N59, 0)</f>
        <v>0.6074621292</v>
      </c>
      <c r="E61" s="1"/>
      <c r="F61" s="1"/>
      <c r="G61" s="1"/>
    </row>
    <row r="62" ht="15.75" customHeight="1">
      <c r="A62" s="92">
        <f>A61+'Traditional FIRE'!L60 </f>
        <v>1507630.2</v>
      </c>
      <c r="B62" s="90">
        <f>IFERROR(A62/'Traditional FIRE'!N60, 0)</f>
        <v>0.3830663631</v>
      </c>
      <c r="C62" s="93">
        <f>C61+'Traditional FIRE'!O60 </f>
        <v>2428059.135</v>
      </c>
      <c r="D62" s="94">
        <f>IFERROR(C62/'Traditional FIRE'!N60, 0)</f>
        <v>0.6169336369</v>
      </c>
      <c r="E62" s="1"/>
      <c r="F62" s="1"/>
      <c r="G62" s="1"/>
    </row>
    <row r="63" ht="15.75" customHeight="1">
      <c r="A63" s="92">
        <f>A62+'Traditional FIRE'!L61 </f>
        <v>1541338.68</v>
      </c>
      <c r="B63" s="90">
        <f>IFERROR(A63/'Traditional FIRE'!N61, 0)</f>
        <v>0.3737893281</v>
      </c>
      <c r="C63" s="93">
        <f>C62+'Traditional FIRE'!O61 </f>
        <v>2582210.507</v>
      </c>
      <c r="D63" s="94">
        <f>IFERROR(C63/'Traditional FIRE'!N61, 0)</f>
        <v>0.6262106719</v>
      </c>
      <c r="E63" s="1"/>
      <c r="F63" s="1"/>
      <c r="G63" s="1"/>
    </row>
    <row r="64" ht="15.75" customHeight="1">
      <c r="A64" s="92">
        <f>A63+'Traditional FIRE'!L62 </f>
        <v>1575047.16</v>
      </c>
      <c r="B64" s="90">
        <f>IFERROR(A64/'Traditional FIRE'!N62, 0)</f>
        <v>0.3647036133</v>
      </c>
      <c r="C64" s="93">
        <f>C63+'Traditional FIRE'!O62 </f>
        <v>2743657.406</v>
      </c>
      <c r="D64" s="94">
        <f>IFERROR(C64/'Traditional FIRE'!N62, 0)</f>
        <v>0.6352963867</v>
      </c>
      <c r="E64" s="1"/>
      <c r="F64" s="1"/>
      <c r="G64" s="1"/>
    </row>
    <row r="65" ht="15.75" customHeight="1">
      <c r="A65" s="92">
        <f>A64+'Traditional FIRE'!L63 </f>
        <v>1608755.64</v>
      </c>
      <c r="B65" s="90">
        <f>IFERROR(A65/'Traditional FIRE'!N63, 0)</f>
        <v>0.35580613</v>
      </c>
      <c r="C65" s="93">
        <f>C64+'Traditional FIRE'!O63 </f>
        <v>2912683.156</v>
      </c>
      <c r="D65" s="94">
        <f>IFERROR(C65/'Traditional FIRE'!N63, 0)</f>
        <v>0.64419387</v>
      </c>
      <c r="E65" s="1"/>
      <c r="F65" s="1"/>
      <c r="G65" s="1"/>
    </row>
    <row r="66" ht="15.75" customHeight="1">
      <c r="A66" s="92">
        <f>A65+'Traditional FIRE'!L64 </f>
        <v>1642464.12</v>
      </c>
      <c r="B66" s="90">
        <f>IFERROR(A66/'Traditional FIRE'!N64, 0)</f>
        <v>0.3470938471</v>
      </c>
      <c r="C66" s="93">
        <f>C65+'Traditional FIRE'!O64 </f>
        <v>3089582.079</v>
      </c>
      <c r="D66" s="94">
        <f>IFERROR(C66/'Traditional FIRE'!N64, 0)</f>
        <v>0.6529061529</v>
      </c>
      <c r="E66" s="1"/>
      <c r="F66" s="1"/>
      <c r="G66" s="1"/>
    </row>
    <row r="67" ht="15.75" customHeight="1">
      <c r="A67" s="92">
        <f>A66+'Traditional FIRE'!L65 </f>
        <v>1676172.6</v>
      </c>
      <c r="B67" s="90">
        <f>IFERROR(A67/'Traditional FIRE'!N65, 0)</f>
        <v>0.3385637849</v>
      </c>
      <c r="C67" s="93">
        <f>C66+'Traditional FIRE'!O65 </f>
        <v>3274659.931</v>
      </c>
      <c r="D67" s="94">
        <f>IFERROR(C67/'Traditional FIRE'!N65, 0)</f>
        <v>0.6614362151</v>
      </c>
      <c r="E67" s="1"/>
      <c r="F67" s="1"/>
      <c r="G67" s="1"/>
    </row>
    <row r="68" ht="15.75" customHeight="1">
      <c r="A68" s="92">
        <f>A67+'Traditional FIRE'!L66 </f>
        <v>1797798.6</v>
      </c>
      <c r="B68" s="90">
        <f>IFERROR(A68/'Traditional FIRE'!N66, 0)</f>
        <v>0.3411740412</v>
      </c>
      <c r="C68" s="93">
        <f>C67+'Traditional FIRE'!O66 </f>
        <v>3471648.611</v>
      </c>
      <c r="D68" s="94">
        <f>IFERROR(C68/'Traditional FIRE'!N66, 0)</f>
        <v>0.6588259588</v>
      </c>
      <c r="E68" s="1"/>
      <c r="F68" s="1"/>
      <c r="G68" s="1"/>
    </row>
    <row r="69" ht="15.75" customHeight="1">
      <c r="A69" s="92">
        <f>A68+'Traditional FIRE'!L67 </f>
        <v>1919424.6</v>
      </c>
      <c r="B69" s="90">
        <f>IFERROR(A69/'Traditional FIRE'!N67, 0)</f>
        <v>0.3427277533</v>
      </c>
      <c r="C69" s="93">
        <f>C68+'Traditional FIRE'!O67 </f>
        <v>3681010.678</v>
      </c>
      <c r="D69" s="94">
        <f>IFERROR(C69/'Traditional FIRE'!N67, 0)</f>
        <v>0.6572722467</v>
      </c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19.25"/>
    <col customWidth="1" min="3" max="3" width="12.5"/>
    <col customWidth="1" min="4" max="4" width="14.13"/>
    <col customWidth="1" min="5" max="5" width="12.25"/>
    <col customWidth="1" min="6" max="6" width="11.88"/>
    <col customWidth="1" min="7" max="7" width="16.13"/>
    <col customWidth="1" min="8" max="10" width="12.75"/>
    <col customWidth="1" min="11" max="11" width="13.25"/>
    <col customWidth="1" min="12" max="12" width="14.0"/>
    <col customWidth="1" min="13" max="15" width="15.75"/>
    <col customWidth="1" min="16" max="16" width="14.63"/>
    <col customWidth="1" min="17" max="17" width="21.88"/>
    <col customWidth="1" min="18" max="18" width="9.13"/>
    <col customWidth="1" min="19" max="19" width="19.38"/>
    <col customWidth="1" min="20" max="22" width="9.13"/>
  </cols>
  <sheetData>
    <row r="1" ht="11.25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3"/>
      <c r="Q1" s="3"/>
      <c r="R1" s="3"/>
      <c r="S1" s="3"/>
      <c r="T1" s="3"/>
      <c r="U1" s="3"/>
      <c r="V1" s="3"/>
    </row>
    <row r="2" ht="28.5" customHeight="1">
      <c r="A2" s="1"/>
      <c r="B2" s="5" t="s">
        <v>43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3"/>
      <c r="S2" s="3"/>
      <c r="T2" s="3"/>
      <c r="U2" s="3"/>
      <c r="V2" s="3"/>
    </row>
    <row r="3" ht="12.75" customHeight="1">
      <c r="A3" s="1"/>
      <c r="B3" s="1"/>
      <c r="C3" s="8"/>
      <c r="D3" s="8"/>
      <c r="E3" s="8"/>
      <c r="F3" s="3"/>
      <c r="G3" s="3"/>
      <c r="H3" s="3"/>
      <c r="I3" s="3"/>
      <c r="J3" s="3"/>
      <c r="K3" s="3"/>
      <c r="L3" s="3"/>
      <c r="M3" s="3"/>
      <c r="N3" s="4"/>
      <c r="O3" s="4"/>
      <c r="P3" s="3"/>
      <c r="Q3" s="3"/>
      <c r="R3" s="9"/>
      <c r="S3" s="3"/>
      <c r="T3" s="9"/>
      <c r="U3" s="3"/>
      <c r="V3" s="3"/>
    </row>
    <row r="4" ht="27.0" customHeight="1">
      <c r="A4" s="1"/>
      <c r="B4" s="10" t="s">
        <v>1</v>
      </c>
      <c r="C4" s="11"/>
      <c r="D4" s="12"/>
      <c r="E4" s="1"/>
      <c r="F4" s="13" t="s">
        <v>2</v>
      </c>
      <c r="G4" s="14"/>
      <c r="H4" s="15"/>
      <c r="I4" s="1"/>
      <c r="J4" s="1"/>
      <c r="K4" s="1"/>
      <c r="L4" s="1"/>
      <c r="M4" s="1"/>
      <c r="N4" s="1"/>
      <c r="O4" s="1"/>
      <c r="P4" s="1"/>
      <c r="Q4" s="3"/>
      <c r="R4" s="16"/>
      <c r="S4" s="3"/>
      <c r="T4" s="3"/>
      <c r="U4" s="3"/>
      <c r="V4" s="3"/>
    </row>
    <row r="5" ht="22.5" customHeight="1">
      <c r="A5" s="1"/>
      <c r="B5" s="17" t="s">
        <v>3</v>
      </c>
      <c r="C5" s="18"/>
      <c r="D5" s="19"/>
      <c r="E5" s="1"/>
      <c r="F5" s="17" t="s">
        <v>44</v>
      </c>
      <c r="G5" s="18"/>
      <c r="H5" s="22"/>
      <c r="I5" s="1"/>
      <c r="J5" s="1"/>
      <c r="K5" s="1"/>
      <c r="L5" s="1"/>
      <c r="M5" s="1"/>
      <c r="N5" s="1"/>
      <c r="O5" s="1"/>
      <c r="P5" s="1"/>
      <c r="Q5" s="3"/>
      <c r="R5" s="16"/>
      <c r="S5" s="3"/>
      <c r="T5" s="1"/>
      <c r="U5" s="3"/>
      <c r="V5" s="3"/>
    </row>
    <row r="6" ht="16.5" customHeight="1">
      <c r="A6" s="1"/>
      <c r="B6" s="17" t="s">
        <v>5</v>
      </c>
      <c r="C6" s="18"/>
      <c r="D6" s="19"/>
      <c r="E6" s="1"/>
      <c r="F6" s="17" t="s">
        <v>6</v>
      </c>
      <c r="G6" s="18"/>
      <c r="H6" s="22"/>
      <c r="I6" s="1"/>
      <c r="J6" s="1"/>
      <c r="K6" s="1"/>
      <c r="L6" s="1"/>
      <c r="M6" s="1"/>
      <c r="N6" s="1"/>
      <c r="O6" s="1"/>
      <c r="P6" s="1"/>
      <c r="Q6" s="3"/>
      <c r="R6" s="16"/>
      <c r="S6" s="3"/>
      <c r="T6" s="1"/>
      <c r="U6" s="3"/>
      <c r="V6" s="3"/>
    </row>
    <row r="7" ht="24.75" customHeight="1">
      <c r="A7" s="1"/>
      <c r="B7" s="17" t="s">
        <v>7</v>
      </c>
      <c r="C7" s="18"/>
      <c r="D7" s="25"/>
      <c r="E7" s="1"/>
      <c r="F7" s="17" t="s">
        <v>8</v>
      </c>
      <c r="G7" s="18"/>
      <c r="H7" s="22"/>
      <c r="I7" s="1"/>
      <c r="J7" s="1"/>
      <c r="K7" s="1"/>
      <c r="L7" s="1"/>
      <c r="M7" s="1"/>
      <c r="N7" s="1"/>
      <c r="O7" s="1"/>
      <c r="P7" s="1"/>
      <c r="Q7" s="3"/>
      <c r="R7" s="16"/>
      <c r="S7" s="3"/>
      <c r="T7" s="1"/>
      <c r="U7" s="3"/>
      <c r="V7" s="3"/>
    </row>
    <row r="8" ht="33.0" customHeight="1">
      <c r="A8" s="1"/>
      <c r="B8" s="17" t="s">
        <v>45</v>
      </c>
      <c r="C8" s="18"/>
      <c r="D8" s="25"/>
      <c r="E8" s="1"/>
      <c r="F8" s="17" t="s">
        <v>10</v>
      </c>
      <c r="G8" s="18"/>
      <c r="H8" s="22"/>
      <c r="I8" s="1"/>
      <c r="J8" s="1"/>
      <c r="K8" s="1"/>
      <c r="L8" s="1"/>
      <c r="M8" s="1"/>
      <c r="N8" s="1"/>
      <c r="O8" s="1"/>
      <c r="P8" s="1"/>
      <c r="Q8" s="3"/>
      <c r="R8" s="16"/>
      <c r="S8" s="3"/>
      <c r="T8" s="1"/>
      <c r="U8" s="3"/>
      <c r="V8" s="3"/>
    </row>
    <row r="9" ht="32.25" customHeight="1">
      <c r="A9" s="1"/>
      <c r="B9" s="17" t="s">
        <v>46</v>
      </c>
      <c r="C9" s="18"/>
      <c r="D9" s="25"/>
      <c r="E9" s="1"/>
      <c r="F9" s="17" t="s">
        <v>12</v>
      </c>
      <c r="G9" s="18"/>
      <c r="H9" s="22"/>
      <c r="I9" s="1"/>
      <c r="J9" s="1"/>
      <c r="K9" s="1"/>
      <c r="L9" s="1"/>
      <c r="M9" s="1"/>
      <c r="N9" s="1"/>
      <c r="O9" s="1"/>
      <c r="P9" s="1"/>
      <c r="Q9" s="3"/>
      <c r="R9" s="9"/>
      <c r="S9" s="3"/>
      <c r="T9" s="1"/>
      <c r="U9" s="3"/>
      <c r="V9" s="3"/>
    </row>
    <row r="10" ht="30.0" customHeight="1">
      <c r="A10" s="1"/>
      <c r="B10" s="26" t="s">
        <v>47</v>
      </c>
      <c r="C10" s="27"/>
      <c r="D10" s="28"/>
      <c r="E10" s="1"/>
      <c r="F10" s="26" t="s">
        <v>48</v>
      </c>
      <c r="G10" s="27"/>
      <c r="H10" s="95"/>
      <c r="I10" s="1"/>
      <c r="J10" s="1"/>
      <c r="K10" s="1"/>
      <c r="L10" s="1"/>
      <c r="M10" s="1"/>
      <c r="N10" s="1"/>
      <c r="O10" s="1"/>
      <c r="P10" s="1"/>
      <c r="Q10" s="3"/>
      <c r="R10" s="16"/>
      <c r="S10" s="3"/>
      <c r="T10" s="1"/>
      <c r="U10" s="3"/>
      <c r="V10" s="3"/>
    </row>
    <row r="11" ht="28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3"/>
      <c r="R11" s="1"/>
      <c r="S11" s="3"/>
      <c r="T11" s="1"/>
      <c r="U11" s="3"/>
      <c r="V11" s="3"/>
    </row>
    <row r="12" ht="22.5" customHeight="1">
      <c r="A12" s="1"/>
      <c r="B12" s="30" t="s">
        <v>49</v>
      </c>
      <c r="C12" s="11"/>
      <c r="D12" s="11"/>
      <c r="E12" s="11"/>
      <c r="F12" s="11"/>
      <c r="G12" s="11"/>
      <c r="H12" s="12"/>
      <c r="I12" s="1"/>
      <c r="J12" s="1"/>
      <c r="K12" s="1"/>
      <c r="L12" s="1"/>
      <c r="M12" s="1"/>
      <c r="N12" s="1"/>
      <c r="O12" s="1"/>
      <c r="P12" s="1"/>
      <c r="Q12" s="3"/>
      <c r="R12" s="3"/>
      <c r="S12" s="3"/>
      <c r="T12" s="3"/>
      <c r="U12" s="3"/>
      <c r="V12" s="3"/>
    </row>
    <row r="13" ht="21.0" customHeight="1">
      <c r="A13" s="1"/>
      <c r="B13" s="31" t="s">
        <v>50</v>
      </c>
      <c r="C13" s="11"/>
      <c r="D13" s="12"/>
      <c r="E13" s="1"/>
      <c r="F13" s="31" t="s">
        <v>51</v>
      </c>
      <c r="G13" s="11"/>
      <c r="H13" s="12"/>
      <c r="I13" s="1"/>
      <c r="J13" s="1"/>
      <c r="K13" s="1"/>
      <c r="L13" s="1"/>
      <c r="M13" s="1"/>
      <c r="N13" s="1"/>
      <c r="O13" s="1"/>
      <c r="P13" s="1"/>
      <c r="Q13" s="3"/>
      <c r="R13" s="3"/>
      <c r="S13" s="3"/>
      <c r="T13" s="3"/>
      <c r="U13" s="3"/>
      <c r="V13" s="3"/>
    </row>
    <row r="14" ht="32.25" customHeight="1">
      <c r="A14" s="1"/>
      <c r="B14" s="32" t="s">
        <v>52</v>
      </c>
      <c r="C14" s="33"/>
      <c r="D14" s="34" t="str">
        <f>IFERROR((D8*H10)/H9, "N/A")</f>
        <v>N/A</v>
      </c>
      <c r="E14" s="1"/>
      <c r="F14" s="32" t="s">
        <v>53</v>
      </c>
      <c r="G14" s="33"/>
      <c r="H14" s="96" t="str">
        <f t="array" ref="H14">IFERROR((Index($M$20:$M$67,MATCH(TRUE,$B$20:$B$67=D5,0)))/D14, "N/A")</f>
        <v>N/A</v>
      </c>
      <c r="I14" s="1"/>
      <c r="J14" s="1"/>
      <c r="K14" s="1"/>
      <c r="L14" s="1"/>
      <c r="M14" s="1"/>
      <c r="N14" s="1"/>
      <c r="O14" s="1"/>
      <c r="P14" s="1"/>
      <c r="Q14" s="3"/>
      <c r="R14" s="3"/>
      <c r="S14" s="3"/>
      <c r="T14" s="3"/>
      <c r="U14" s="3"/>
      <c r="V14" s="3"/>
    </row>
    <row r="15" ht="20.25" customHeight="1">
      <c r="A15" s="1"/>
      <c r="B15" s="32" t="s">
        <v>54</v>
      </c>
      <c r="C15" s="33"/>
      <c r="D15" s="36" t="str">
        <f t="array" ref="D15">IFERROR(Index($B$20:$B$67,MATCH(TRUE,$M$20:$M$67&gt;=D14,0)), "N/A")</f>
        <v>N/A</v>
      </c>
      <c r="E15" s="37"/>
      <c r="F15" s="97" t="str">
        <f>IFERROR(__xludf.DUMMYFUNCTION("IFERROR(sparkline(H14,{""charttype"",""bar"";""max"",100%;""color1"",""#a5c4dc"";""empty"",""zero""}), ""N/A"")"),"N/A")</f>
        <v>N/A</v>
      </c>
      <c r="H15" s="98"/>
      <c r="I15" s="1"/>
      <c r="J15" s="1"/>
      <c r="K15" s="1"/>
      <c r="L15" s="1"/>
      <c r="M15" s="1"/>
      <c r="N15" s="4"/>
      <c r="O15" s="4"/>
      <c r="P15" s="3"/>
      <c r="Q15" s="3"/>
      <c r="R15" s="3"/>
      <c r="S15" s="3"/>
      <c r="T15" s="3"/>
      <c r="U15" s="3"/>
      <c r="V15" s="3"/>
    </row>
    <row r="16" ht="24.0" customHeight="1">
      <c r="A16" s="1"/>
      <c r="B16" s="39" t="s">
        <v>55</v>
      </c>
      <c r="C16" s="40"/>
      <c r="D16" s="41" t="str">
        <f>IFERROR(D15-D5, "N/A")</f>
        <v>N/A</v>
      </c>
      <c r="E16" s="1"/>
      <c r="F16" s="99"/>
      <c r="G16" s="40"/>
      <c r="H16" s="100"/>
      <c r="I16" s="1"/>
      <c r="J16" s="1"/>
      <c r="K16" s="1"/>
      <c r="L16" s="1"/>
      <c r="M16" s="1"/>
      <c r="N16" s="4"/>
      <c r="O16" s="4"/>
      <c r="P16" s="3"/>
      <c r="Q16" s="3"/>
      <c r="R16" s="3"/>
      <c r="S16" s="3"/>
      <c r="T16" s="3"/>
      <c r="U16" s="3"/>
      <c r="V16" s="3"/>
    </row>
    <row r="17" ht="26.25" customHeight="1">
      <c r="A17" s="1"/>
      <c r="E17" s="3"/>
      <c r="F17" s="3"/>
      <c r="G17" s="3"/>
      <c r="H17" s="1"/>
      <c r="I17" s="3"/>
      <c r="J17" s="3"/>
      <c r="K17" s="3"/>
      <c r="L17" s="3"/>
      <c r="M17" s="3"/>
      <c r="N17" s="4"/>
      <c r="O17" s="4"/>
      <c r="P17" s="3"/>
      <c r="Q17" s="3"/>
      <c r="R17" s="3"/>
      <c r="S17" s="3"/>
      <c r="T17" s="3"/>
      <c r="U17" s="3"/>
      <c r="V17" s="3"/>
    </row>
    <row r="18" ht="17.25" customHeight="1">
      <c r="A18" s="1"/>
      <c r="B18" s="2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4"/>
      <c r="O18" s="101" t="s">
        <v>56</v>
      </c>
      <c r="R18" s="3"/>
      <c r="S18" s="3"/>
      <c r="T18" s="3"/>
      <c r="U18" s="3"/>
      <c r="V18" s="3"/>
    </row>
    <row r="19" ht="62.25" customHeight="1">
      <c r="A19" s="102" t="s">
        <v>5</v>
      </c>
      <c r="B19" s="44" t="s">
        <v>24</v>
      </c>
      <c r="C19" s="44" t="s">
        <v>3</v>
      </c>
      <c r="D19" s="44" t="s">
        <v>25</v>
      </c>
      <c r="E19" s="45" t="s">
        <v>26</v>
      </c>
      <c r="F19" s="44" t="s">
        <v>7</v>
      </c>
      <c r="G19" s="46" t="s">
        <v>27</v>
      </c>
      <c r="H19" s="47" t="s">
        <v>28</v>
      </c>
      <c r="I19" s="48" t="s">
        <v>29</v>
      </c>
      <c r="J19" s="46" t="s">
        <v>57</v>
      </c>
      <c r="K19" s="49" t="s">
        <v>31</v>
      </c>
      <c r="L19" s="50" t="s">
        <v>32</v>
      </c>
      <c r="M19" s="44" t="s">
        <v>34</v>
      </c>
      <c r="N19" s="50" t="s">
        <v>35</v>
      </c>
      <c r="O19" s="44" t="s">
        <v>36</v>
      </c>
      <c r="P19" s="51" t="s">
        <v>58</v>
      </c>
      <c r="Q19" s="52" t="s">
        <v>38</v>
      </c>
      <c r="R19" s="3"/>
      <c r="S19" s="3"/>
      <c r="T19" s="3"/>
      <c r="U19" s="3"/>
      <c r="V19" s="3"/>
    </row>
    <row r="20" ht="15.75" hidden="1" customHeight="1">
      <c r="A20" s="53">
        <f>D6-1</f>
        <v>-1</v>
      </c>
      <c r="B20" s="54">
        <f>D5-1</f>
        <v>-1</v>
      </c>
      <c r="C20" s="54">
        <v>0.0</v>
      </c>
      <c r="D20" s="55"/>
      <c r="E20" s="56"/>
      <c r="F20" s="54"/>
      <c r="G20" s="57"/>
      <c r="H20" s="58"/>
      <c r="I20" s="59"/>
      <c r="J20" s="57"/>
      <c r="K20" s="60"/>
      <c r="L20" s="58"/>
      <c r="M20" s="54"/>
      <c r="N20" s="61"/>
      <c r="O20" s="54"/>
      <c r="P20" s="62"/>
      <c r="Q20" s="63"/>
      <c r="R20" s="1"/>
      <c r="S20" s="1"/>
      <c r="T20" s="1"/>
      <c r="U20" s="1"/>
      <c r="V20" s="1"/>
    </row>
    <row r="21" ht="15.75" customHeight="1">
      <c r="A21" s="103" t="str">
        <f>D6</f>
        <v/>
      </c>
      <c r="B21" s="65" t="str">
        <f>'Barista FIRE '!D5</f>
        <v/>
      </c>
      <c r="C21" s="65">
        <v>1.0</v>
      </c>
      <c r="D21" s="104" t="str">
        <f>'Barista FIRE '!D8</f>
        <v/>
      </c>
      <c r="E21" s="105">
        <f>D21*(1-'Barista FIRE '!$H$7)/12</f>
        <v>0</v>
      </c>
      <c r="F21" s="104" t="str">
        <f>D7</f>
        <v/>
      </c>
      <c r="G21" s="57"/>
      <c r="H21" s="104">
        <f>E21-(F21+G21)</f>
        <v>0</v>
      </c>
      <c r="I21" s="59"/>
      <c r="J21" s="57"/>
      <c r="K21" s="104">
        <f t="shared" ref="K21:K67" si="2">(F21+G21)*12</f>
        <v>0</v>
      </c>
      <c r="L21" s="106">
        <f t="shared" ref="L21:L67" si="3">((H21+I21)*12)+J21</f>
        <v>0</v>
      </c>
      <c r="M21" s="104">
        <f>D9+L21</f>
        <v>0</v>
      </c>
      <c r="N21" s="106">
        <f>M21-(D9+L21)</f>
        <v>0</v>
      </c>
      <c r="O21" s="104">
        <f>M21*'Barista FIRE '!H9</f>
        <v>0</v>
      </c>
      <c r="P21" s="104">
        <f t="shared" ref="P21:P67" si="4">IF(D21-O21 &gt;=0, D21-O21, 0)</f>
        <v>0</v>
      </c>
      <c r="Q21" s="72" t="str">
        <f t="shared" ref="Q21:Q67" si="5">IF(O21&gt;=(D21*$H$10), "Barista FIRE", "Working")</f>
        <v>Barista FIRE</v>
      </c>
      <c r="R21" s="1"/>
      <c r="S21" s="1"/>
      <c r="T21" s="1"/>
      <c r="U21" s="1"/>
      <c r="V21" s="1"/>
    </row>
    <row r="22" ht="15.75" customHeight="1">
      <c r="A22" s="53">
        <f t="shared" ref="A22:C22" si="1">A21+1</f>
        <v>1</v>
      </c>
      <c r="B22" s="54">
        <f t="shared" si="1"/>
        <v>1</v>
      </c>
      <c r="C22" s="54">
        <f t="shared" si="1"/>
        <v>2</v>
      </c>
      <c r="D22" s="55">
        <f>D21*(1+'Barista FIRE '!$H$5)</f>
        <v>0</v>
      </c>
      <c r="E22" s="56">
        <f>D22*(1-'Barista FIRE '!$H$7)/12</f>
        <v>0</v>
      </c>
      <c r="F22" s="55">
        <f t="shared" ref="F22:F67" si="7">$D$7*(1+$H$6)^(C22-1)</f>
        <v>0</v>
      </c>
      <c r="G22" s="57"/>
      <c r="H22" s="55">
        <f t="shared" ref="H22:H67" si="8">E22-F22</f>
        <v>0</v>
      </c>
      <c r="I22" s="59"/>
      <c r="J22" s="57"/>
      <c r="K22" s="55">
        <f t="shared" si="2"/>
        <v>0</v>
      </c>
      <c r="L22" s="106">
        <f t="shared" si="3"/>
        <v>0</v>
      </c>
      <c r="M22" s="55">
        <f>(M21+L22)*(1+'Barista FIRE '!$H$8)</f>
        <v>0</v>
      </c>
      <c r="N22" s="58">
        <f t="shared" ref="N22:N67" si="9">M22-(L22+M21)</f>
        <v>0</v>
      </c>
      <c r="O22" s="55">
        <f>M22*'Barista FIRE '!$H$9</f>
        <v>0</v>
      </c>
      <c r="P22" s="104">
        <f t="shared" si="4"/>
        <v>0</v>
      </c>
      <c r="Q22" s="72" t="str">
        <f t="shared" si="5"/>
        <v>Barista FIRE</v>
      </c>
      <c r="R22" s="1"/>
      <c r="S22" s="1"/>
      <c r="T22" s="1"/>
      <c r="U22" s="1"/>
      <c r="V22" s="1"/>
    </row>
    <row r="23" ht="15.75" customHeight="1">
      <c r="A23" s="53">
        <f t="shared" ref="A23:C23" si="6">A22+1</f>
        <v>2</v>
      </c>
      <c r="B23" s="65">
        <f t="shared" si="6"/>
        <v>2</v>
      </c>
      <c r="C23" s="65">
        <f t="shared" si="6"/>
        <v>3</v>
      </c>
      <c r="D23" s="104">
        <f>D22*(1+'Barista FIRE '!$H$5)</f>
        <v>0</v>
      </c>
      <c r="E23" s="105">
        <f>D23*(1-'Barista FIRE '!$H$7)/12</f>
        <v>0</v>
      </c>
      <c r="F23" s="104">
        <f t="shared" si="7"/>
        <v>0</v>
      </c>
      <c r="G23" s="57"/>
      <c r="H23" s="104">
        <f t="shared" si="8"/>
        <v>0</v>
      </c>
      <c r="I23" s="59"/>
      <c r="J23" s="57"/>
      <c r="K23" s="104">
        <f t="shared" si="2"/>
        <v>0</v>
      </c>
      <c r="L23" s="106">
        <f t="shared" si="3"/>
        <v>0</v>
      </c>
      <c r="M23" s="55">
        <f>(M22+L23)*(1+'Barista FIRE '!$H$8)</f>
        <v>0</v>
      </c>
      <c r="N23" s="58">
        <f t="shared" si="9"/>
        <v>0</v>
      </c>
      <c r="O23" s="104">
        <f>M23*'Barista FIRE '!$H$9</f>
        <v>0</v>
      </c>
      <c r="P23" s="104">
        <f t="shared" si="4"/>
        <v>0</v>
      </c>
      <c r="Q23" s="72" t="str">
        <f t="shared" si="5"/>
        <v>Barista FIRE</v>
      </c>
      <c r="R23" s="1"/>
      <c r="S23" s="1"/>
      <c r="T23" s="1"/>
      <c r="U23" s="1"/>
      <c r="V23" s="1"/>
    </row>
    <row r="24" ht="15.75" customHeight="1">
      <c r="A24" s="53">
        <f t="shared" ref="A24:C24" si="10">A23+1</f>
        <v>3</v>
      </c>
      <c r="B24" s="54">
        <f t="shared" si="10"/>
        <v>3</v>
      </c>
      <c r="C24" s="54">
        <f t="shared" si="10"/>
        <v>4</v>
      </c>
      <c r="D24" s="55">
        <f>D23*(1+'Barista FIRE '!$H$5)</f>
        <v>0</v>
      </c>
      <c r="E24" s="56">
        <f>D24*(1-'Barista FIRE '!$H$7)/12</f>
        <v>0</v>
      </c>
      <c r="F24" s="55">
        <f t="shared" si="7"/>
        <v>0</v>
      </c>
      <c r="G24" s="57"/>
      <c r="H24" s="55">
        <f t="shared" si="8"/>
        <v>0</v>
      </c>
      <c r="I24" s="59"/>
      <c r="J24" s="57"/>
      <c r="K24" s="55">
        <f t="shared" si="2"/>
        <v>0</v>
      </c>
      <c r="L24" s="106">
        <f t="shared" si="3"/>
        <v>0</v>
      </c>
      <c r="M24" s="55">
        <f>(M23+L24)*(1+'Barista FIRE '!$H$8)</f>
        <v>0</v>
      </c>
      <c r="N24" s="58">
        <f t="shared" si="9"/>
        <v>0</v>
      </c>
      <c r="O24" s="55">
        <f>M24*'Barista FIRE '!$H$9</f>
        <v>0</v>
      </c>
      <c r="P24" s="104">
        <f t="shared" si="4"/>
        <v>0</v>
      </c>
      <c r="Q24" s="72" t="str">
        <f t="shared" si="5"/>
        <v>Barista FIRE</v>
      </c>
      <c r="R24" s="1"/>
      <c r="S24" s="1"/>
      <c r="T24" s="1"/>
      <c r="U24" s="1"/>
      <c r="V24" s="1"/>
    </row>
    <row r="25" ht="15.75" customHeight="1">
      <c r="A25" s="53">
        <f t="shared" ref="A25:C25" si="11">A24+1</f>
        <v>4</v>
      </c>
      <c r="B25" s="65">
        <f t="shared" si="11"/>
        <v>4</v>
      </c>
      <c r="C25" s="65">
        <f t="shared" si="11"/>
        <v>5</v>
      </c>
      <c r="D25" s="104">
        <f>D24*(1+'Barista FIRE '!$H$5)</f>
        <v>0</v>
      </c>
      <c r="E25" s="105">
        <f>D25*(1-'Barista FIRE '!$H$7)/12</f>
        <v>0</v>
      </c>
      <c r="F25" s="104">
        <f t="shared" si="7"/>
        <v>0</v>
      </c>
      <c r="G25" s="57"/>
      <c r="H25" s="104">
        <f t="shared" si="8"/>
        <v>0</v>
      </c>
      <c r="I25" s="59"/>
      <c r="J25" s="57"/>
      <c r="K25" s="104">
        <f t="shared" si="2"/>
        <v>0</v>
      </c>
      <c r="L25" s="106">
        <f t="shared" si="3"/>
        <v>0</v>
      </c>
      <c r="M25" s="55">
        <f>(M24+L25)*(1+'Barista FIRE '!$H$8)</f>
        <v>0</v>
      </c>
      <c r="N25" s="58">
        <f t="shared" si="9"/>
        <v>0</v>
      </c>
      <c r="O25" s="104">
        <f>M25*'Barista FIRE '!$H$9</f>
        <v>0</v>
      </c>
      <c r="P25" s="104">
        <f t="shared" si="4"/>
        <v>0</v>
      </c>
      <c r="Q25" s="72" t="str">
        <f t="shared" si="5"/>
        <v>Barista FIRE</v>
      </c>
      <c r="R25" s="1"/>
      <c r="S25" s="1"/>
      <c r="T25" s="1"/>
      <c r="U25" s="1"/>
      <c r="V25" s="1"/>
    </row>
    <row r="26" ht="15.75" customHeight="1">
      <c r="A26" s="53">
        <f t="shared" ref="A26:C26" si="12">A25+1</f>
        <v>5</v>
      </c>
      <c r="B26" s="54">
        <f t="shared" si="12"/>
        <v>5</v>
      </c>
      <c r="C26" s="54">
        <f t="shared" si="12"/>
        <v>6</v>
      </c>
      <c r="D26" s="55">
        <f>D25*(1+'Barista FIRE '!$H$5)</f>
        <v>0</v>
      </c>
      <c r="E26" s="56">
        <f>D26*(1-'Barista FIRE '!$H$7)/12</f>
        <v>0</v>
      </c>
      <c r="F26" s="55">
        <f t="shared" si="7"/>
        <v>0</v>
      </c>
      <c r="G26" s="57"/>
      <c r="H26" s="55">
        <f t="shared" si="8"/>
        <v>0</v>
      </c>
      <c r="I26" s="59"/>
      <c r="J26" s="57"/>
      <c r="K26" s="55">
        <f t="shared" si="2"/>
        <v>0</v>
      </c>
      <c r="L26" s="106">
        <f t="shared" si="3"/>
        <v>0</v>
      </c>
      <c r="M26" s="55">
        <f>(M25+L26)*(1+'Barista FIRE '!$H$8)</f>
        <v>0</v>
      </c>
      <c r="N26" s="58">
        <f t="shared" si="9"/>
        <v>0</v>
      </c>
      <c r="O26" s="55">
        <f>M26*'Barista FIRE '!$H$9</f>
        <v>0</v>
      </c>
      <c r="P26" s="104">
        <f t="shared" si="4"/>
        <v>0</v>
      </c>
      <c r="Q26" s="72" t="str">
        <f t="shared" si="5"/>
        <v>Barista FIRE</v>
      </c>
      <c r="R26" s="1"/>
      <c r="S26" s="1"/>
      <c r="T26" s="1"/>
      <c r="U26" s="1"/>
      <c r="V26" s="1"/>
    </row>
    <row r="27" ht="15.75" customHeight="1">
      <c r="A27" s="53">
        <f t="shared" ref="A27:C27" si="13">A26+1</f>
        <v>6</v>
      </c>
      <c r="B27" s="65">
        <f t="shared" si="13"/>
        <v>6</v>
      </c>
      <c r="C27" s="65">
        <f t="shared" si="13"/>
        <v>7</v>
      </c>
      <c r="D27" s="104">
        <f>D26*(1+'Barista FIRE '!$H$5)</f>
        <v>0</v>
      </c>
      <c r="E27" s="105">
        <f>D27*(1-'Barista FIRE '!$H$7)/12</f>
        <v>0</v>
      </c>
      <c r="F27" s="104">
        <f t="shared" si="7"/>
        <v>0</v>
      </c>
      <c r="G27" s="57"/>
      <c r="H27" s="104">
        <f t="shared" si="8"/>
        <v>0</v>
      </c>
      <c r="I27" s="59"/>
      <c r="J27" s="57"/>
      <c r="K27" s="104">
        <f t="shared" si="2"/>
        <v>0</v>
      </c>
      <c r="L27" s="106">
        <f t="shared" si="3"/>
        <v>0</v>
      </c>
      <c r="M27" s="55">
        <f>(M26+L27)*(1+'Barista FIRE '!$H$8)</f>
        <v>0</v>
      </c>
      <c r="N27" s="58">
        <f t="shared" si="9"/>
        <v>0</v>
      </c>
      <c r="O27" s="104">
        <f>M27*'Barista FIRE '!$H$9</f>
        <v>0</v>
      </c>
      <c r="P27" s="104">
        <f t="shared" si="4"/>
        <v>0</v>
      </c>
      <c r="Q27" s="72" t="str">
        <f t="shared" si="5"/>
        <v>Barista FIRE</v>
      </c>
      <c r="R27" s="1"/>
      <c r="S27" s="1"/>
      <c r="T27" s="1"/>
      <c r="U27" s="1"/>
      <c r="V27" s="1"/>
    </row>
    <row r="28" ht="15.75" customHeight="1">
      <c r="A28" s="53">
        <f t="shared" ref="A28:C28" si="14">A27+1</f>
        <v>7</v>
      </c>
      <c r="B28" s="54">
        <f t="shared" si="14"/>
        <v>7</v>
      </c>
      <c r="C28" s="54">
        <f t="shared" si="14"/>
        <v>8</v>
      </c>
      <c r="D28" s="55">
        <f>D27*(1+'Barista FIRE '!$H$5)</f>
        <v>0</v>
      </c>
      <c r="E28" s="56">
        <f>D28*(1-'Barista FIRE '!$H$7)/12</f>
        <v>0</v>
      </c>
      <c r="F28" s="55">
        <f t="shared" si="7"/>
        <v>0</v>
      </c>
      <c r="G28" s="57"/>
      <c r="H28" s="55">
        <f t="shared" si="8"/>
        <v>0</v>
      </c>
      <c r="I28" s="59"/>
      <c r="J28" s="57"/>
      <c r="K28" s="55">
        <f t="shared" si="2"/>
        <v>0</v>
      </c>
      <c r="L28" s="106">
        <f t="shared" si="3"/>
        <v>0</v>
      </c>
      <c r="M28" s="55">
        <f>(M27+L28)*(1+'Barista FIRE '!$H$8)</f>
        <v>0</v>
      </c>
      <c r="N28" s="58">
        <f t="shared" si="9"/>
        <v>0</v>
      </c>
      <c r="O28" s="55">
        <f>M28*'Barista FIRE '!$H$9</f>
        <v>0</v>
      </c>
      <c r="P28" s="104">
        <f t="shared" si="4"/>
        <v>0</v>
      </c>
      <c r="Q28" s="72" t="str">
        <f t="shared" si="5"/>
        <v>Barista FIRE</v>
      </c>
      <c r="R28" s="1"/>
      <c r="S28" s="1"/>
      <c r="T28" s="1"/>
      <c r="U28" s="1"/>
      <c r="V28" s="1"/>
    </row>
    <row r="29" ht="15.75" customHeight="1">
      <c r="A29" s="53">
        <f t="shared" ref="A29:C29" si="15">A28+1</f>
        <v>8</v>
      </c>
      <c r="B29" s="65">
        <f t="shared" si="15"/>
        <v>8</v>
      </c>
      <c r="C29" s="65">
        <f t="shared" si="15"/>
        <v>9</v>
      </c>
      <c r="D29" s="104">
        <f>D28*(1+'Barista FIRE '!$H$5)</f>
        <v>0</v>
      </c>
      <c r="E29" s="105">
        <f>D29*(1-'Barista FIRE '!$H$7)/12</f>
        <v>0</v>
      </c>
      <c r="F29" s="104">
        <f t="shared" si="7"/>
        <v>0</v>
      </c>
      <c r="G29" s="57"/>
      <c r="H29" s="104">
        <f t="shared" si="8"/>
        <v>0</v>
      </c>
      <c r="I29" s="59"/>
      <c r="J29" s="57"/>
      <c r="K29" s="104">
        <f t="shared" si="2"/>
        <v>0</v>
      </c>
      <c r="L29" s="106">
        <f t="shared" si="3"/>
        <v>0</v>
      </c>
      <c r="M29" s="55">
        <f>(M28+L29)*(1+'Barista FIRE '!$H$8)</f>
        <v>0</v>
      </c>
      <c r="N29" s="58">
        <f t="shared" si="9"/>
        <v>0</v>
      </c>
      <c r="O29" s="104">
        <f>M29*'Barista FIRE '!$H$9</f>
        <v>0</v>
      </c>
      <c r="P29" s="104">
        <f t="shared" si="4"/>
        <v>0</v>
      </c>
      <c r="Q29" s="72" t="str">
        <f t="shared" si="5"/>
        <v>Barista FIRE</v>
      </c>
      <c r="R29" s="1"/>
      <c r="S29" s="1"/>
      <c r="T29" s="1"/>
      <c r="U29" s="1"/>
      <c r="V29" s="1"/>
    </row>
    <row r="30" ht="15.75" customHeight="1">
      <c r="A30" s="53">
        <f t="shared" ref="A30:C30" si="16">A29+1</f>
        <v>9</v>
      </c>
      <c r="B30" s="54">
        <f t="shared" si="16"/>
        <v>9</v>
      </c>
      <c r="C30" s="54">
        <f t="shared" si="16"/>
        <v>10</v>
      </c>
      <c r="D30" s="55">
        <f>D29*(1+'Barista FIRE '!$H$5)</f>
        <v>0</v>
      </c>
      <c r="E30" s="56">
        <f>D30*(1-'Barista FIRE '!$H$7)/12</f>
        <v>0</v>
      </c>
      <c r="F30" s="55">
        <f t="shared" si="7"/>
        <v>0</v>
      </c>
      <c r="G30" s="57"/>
      <c r="H30" s="55">
        <f t="shared" si="8"/>
        <v>0</v>
      </c>
      <c r="I30" s="59"/>
      <c r="J30" s="57"/>
      <c r="K30" s="55">
        <f t="shared" si="2"/>
        <v>0</v>
      </c>
      <c r="L30" s="106">
        <f t="shared" si="3"/>
        <v>0</v>
      </c>
      <c r="M30" s="55">
        <f>(M29+L30)*(1+'Barista FIRE '!$H$8)</f>
        <v>0</v>
      </c>
      <c r="N30" s="58">
        <f t="shared" si="9"/>
        <v>0</v>
      </c>
      <c r="O30" s="55">
        <f>M30*'Barista FIRE '!$H$9</f>
        <v>0</v>
      </c>
      <c r="P30" s="104">
        <f t="shared" si="4"/>
        <v>0</v>
      </c>
      <c r="Q30" s="72" t="str">
        <f t="shared" si="5"/>
        <v>Barista FIRE</v>
      </c>
      <c r="R30" s="1"/>
      <c r="S30" s="1"/>
      <c r="T30" s="1"/>
      <c r="U30" s="1"/>
      <c r="V30" s="1"/>
    </row>
    <row r="31" ht="15.75" customHeight="1">
      <c r="A31" s="53">
        <f t="shared" ref="A31:C31" si="17">A30+1</f>
        <v>10</v>
      </c>
      <c r="B31" s="65">
        <f t="shared" si="17"/>
        <v>10</v>
      </c>
      <c r="C31" s="65">
        <f t="shared" si="17"/>
        <v>11</v>
      </c>
      <c r="D31" s="104">
        <f>D30*(1+'Barista FIRE '!$H$5)</f>
        <v>0</v>
      </c>
      <c r="E31" s="105">
        <f>D31*(1-'Barista FIRE '!$H$7)/12</f>
        <v>0</v>
      </c>
      <c r="F31" s="104">
        <f t="shared" si="7"/>
        <v>0</v>
      </c>
      <c r="G31" s="57"/>
      <c r="H31" s="104">
        <f t="shared" si="8"/>
        <v>0</v>
      </c>
      <c r="I31" s="59"/>
      <c r="J31" s="57"/>
      <c r="K31" s="104">
        <f t="shared" si="2"/>
        <v>0</v>
      </c>
      <c r="L31" s="106">
        <f t="shared" si="3"/>
        <v>0</v>
      </c>
      <c r="M31" s="55">
        <f>(M30+L31)*(1+'Barista FIRE '!$H$8)</f>
        <v>0</v>
      </c>
      <c r="N31" s="58">
        <f t="shared" si="9"/>
        <v>0</v>
      </c>
      <c r="O31" s="104">
        <f>M31*'Barista FIRE '!$H$9</f>
        <v>0</v>
      </c>
      <c r="P31" s="104">
        <f t="shared" si="4"/>
        <v>0</v>
      </c>
      <c r="Q31" s="72" t="str">
        <f t="shared" si="5"/>
        <v>Barista FIRE</v>
      </c>
      <c r="R31" s="1"/>
      <c r="S31" s="1"/>
      <c r="T31" s="1"/>
      <c r="U31" s="1"/>
      <c r="V31" s="1"/>
    </row>
    <row r="32" ht="15.75" customHeight="1">
      <c r="A32" s="53">
        <f t="shared" ref="A32:C32" si="18">A31+1</f>
        <v>11</v>
      </c>
      <c r="B32" s="54">
        <f t="shared" si="18"/>
        <v>11</v>
      </c>
      <c r="C32" s="54">
        <f t="shared" si="18"/>
        <v>12</v>
      </c>
      <c r="D32" s="55">
        <f>D31*(1+'Barista FIRE '!$H$5)</f>
        <v>0</v>
      </c>
      <c r="E32" s="56">
        <f>D32*(1-'Barista FIRE '!$H$7)/12</f>
        <v>0</v>
      </c>
      <c r="F32" s="55">
        <f t="shared" si="7"/>
        <v>0</v>
      </c>
      <c r="G32" s="57"/>
      <c r="H32" s="55">
        <f t="shared" si="8"/>
        <v>0</v>
      </c>
      <c r="I32" s="59"/>
      <c r="J32" s="57"/>
      <c r="K32" s="55">
        <f t="shared" si="2"/>
        <v>0</v>
      </c>
      <c r="L32" s="106">
        <f t="shared" si="3"/>
        <v>0</v>
      </c>
      <c r="M32" s="55">
        <f>(M31+L32)*(1+'Barista FIRE '!$H$8)</f>
        <v>0</v>
      </c>
      <c r="N32" s="58">
        <f t="shared" si="9"/>
        <v>0</v>
      </c>
      <c r="O32" s="55">
        <f>M32*'Barista FIRE '!$H$9</f>
        <v>0</v>
      </c>
      <c r="P32" s="104">
        <f t="shared" si="4"/>
        <v>0</v>
      </c>
      <c r="Q32" s="72" t="str">
        <f t="shared" si="5"/>
        <v>Barista FIRE</v>
      </c>
      <c r="R32" s="1"/>
      <c r="S32" s="1"/>
      <c r="T32" s="1"/>
      <c r="U32" s="1"/>
      <c r="V32" s="1"/>
    </row>
    <row r="33" ht="15.75" customHeight="1">
      <c r="A33" s="53">
        <f t="shared" ref="A33:C33" si="19">A32+1</f>
        <v>12</v>
      </c>
      <c r="B33" s="65">
        <f t="shared" si="19"/>
        <v>12</v>
      </c>
      <c r="C33" s="65">
        <f t="shared" si="19"/>
        <v>13</v>
      </c>
      <c r="D33" s="104">
        <f>D32*(1+'Barista FIRE '!$H$5)</f>
        <v>0</v>
      </c>
      <c r="E33" s="105">
        <f>D33*(1-'Barista FIRE '!$H$7)/12</f>
        <v>0</v>
      </c>
      <c r="F33" s="104">
        <f t="shared" si="7"/>
        <v>0</v>
      </c>
      <c r="G33" s="57"/>
      <c r="H33" s="104">
        <f t="shared" si="8"/>
        <v>0</v>
      </c>
      <c r="I33" s="59"/>
      <c r="J33" s="57"/>
      <c r="K33" s="104">
        <f t="shared" si="2"/>
        <v>0</v>
      </c>
      <c r="L33" s="106">
        <f t="shared" si="3"/>
        <v>0</v>
      </c>
      <c r="M33" s="55">
        <f>(M32+L33)*(1+'Barista FIRE '!$H$8)</f>
        <v>0</v>
      </c>
      <c r="N33" s="58">
        <f t="shared" si="9"/>
        <v>0</v>
      </c>
      <c r="O33" s="104">
        <f>M33*'Barista FIRE '!$H$9</f>
        <v>0</v>
      </c>
      <c r="P33" s="104">
        <f t="shared" si="4"/>
        <v>0</v>
      </c>
      <c r="Q33" s="72" t="str">
        <f t="shared" si="5"/>
        <v>Barista FIRE</v>
      </c>
      <c r="R33" s="1"/>
      <c r="S33" s="1"/>
      <c r="T33" s="1"/>
      <c r="U33" s="1"/>
      <c r="V33" s="1"/>
    </row>
    <row r="34" ht="15.75" customHeight="1">
      <c r="A34" s="53">
        <f t="shared" ref="A34:C34" si="20">A33+1</f>
        <v>13</v>
      </c>
      <c r="B34" s="54">
        <f t="shared" si="20"/>
        <v>13</v>
      </c>
      <c r="C34" s="54">
        <f t="shared" si="20"/>
        <v>14</v>
      </c>
      <c r="D34" s="55">
        <f>D33*(1+'Barista FIRE '!$H$5)</f>
        <v>0</v>
      </c>
      <c r="E34" s="56">
        <f>D34*(1-'Barista FIRE '!$H$7)/12</f>
        <v>0</v>
      </c>
      <c r="F34" s="55">
        <f t="shared" si="7"/>
        <v>0</v>
      </c>
      <c r="G34" s="57"/>
      <c r="H34" s="55">
        <f t="shared" si="8"/>
        <v>0</v>
      </c>
      <c r="I34" s="59"/>
      <c r="J34" s="57"/>
      <c r="K34" s="55">
        <f t="shared" si="2"/>
        <v>0</v>
      </c>
      <c r="L34" s="106">
        <f t="shared" si="3"/>
        <v>0</v>
      </c>
      <c r="M34" s="55">
        <f>(M33+L34)*(1+'Barista FIRE '!$H$8)</f>
        <v>0</v>
      </c>
      <c r="N34" s="58">
        <f t="shared" si="9"/>
        <v>0</v>
      </c>
      <c r="O34" s="55">
        <f>M34*'Barista FIRE '!$H$9</f>
        <v>0</v>
      </c>
      <c r="P34" s="104">
        <f t="shared" si="4"/>
        <v>0</v>
      </c>
      <c r="Q34" s="72" t="str">
        <f t="shared" si="5"/>
        <v>Barista FIRE</v>
      </c>
      <c r="R34" s="1"/>
      <c r="S34" s="1"/>
      <c r="T34" s="1"/>
      <c r="U34" s="1"/>
      <c r="V34" s="1"/>
    </row>
    <row r="35" ht="15.75" customHeight="1">
      <c r="A35" s="53">
        <f t="shared" ref="A35:C35" si="21">A34+1</f>
        <v>14</v>
      </c>
      <c r="B35" s="65">
        <f t="shared" si="21"/>
        <v>14</v>
      </c>
      <c r="C35" s="65">
        <f t="shared" si="21"/>
        <v>15</v>
      </c>
      <c r="D35" s="104">
        <f>D34*(1+'Barista FIRE '!$H$5)</f>
        <v>0</v>
      </c>
      <c r="E35" s="105">
        <f>D35*(1-'Barista FIRE '!$H$7)/12</f>
        <v>0</v>
      </c>
      <c r="F35" s="104">
        <f t="shared" si="7"/>
        <v>0</v>
      </c>
      <c r="G35" s="57"/>
      <c r="H35" s="104">
        <f t="shared" si="8"/>
        <v>0</v>
      </c>
      <c r="I35" s="59"/>
      <c r="J35" s="57"/>
      <c r="K35" s="104">
        <f t="shared" si="2"/>
        <v>0</v>
      </c>
      <c r="L35" s="106">
        <f t="shared" si="3"/>
        <v>0</v>
      </c>
      <c r="M35" s="55">
        <f>(M34+L35)*(1+'Barista FIRE '!$H$8)</f>
        <v>0</v>
      </c>
      <c r="N35" s="58">
        <f t="shared" si="9"/>
        <v>0</v>
      </c>
      <c r="O35" s="104">
        <f>M35*'Barista FIRE '!$H$9</f>
        <v>0</v>
      </c>
      <c r="P35" s="104">
        <f t="shared" si="4"/>
        <v>0</v>
      </c>
      <c r="Q35" s="72" t="str">
        <f t="shared" si="5"/>
        <v>Barista FIRE</v>
      </c>
      <c r="R35" s="1"/>
      <c r="S35" s="1"/>
      <c r="T35" s="1"/>
      <c r="U35" s="1"/>
      <c r="V35" s="1"/>
    </row>
    <row r="36" ht="15.75" customHeight="1">
      <c r="A36" s="53">
        <f t="shared" ref="A36:C36" si="22">A35+1</f>
        <v>15</v>
      </c>
      <c r="B36" s="54">
        <f t="shared" si="22"/>
        <v>15</v>
      </c>
      <c r="C36" s="54">
        <f t="shared" si="22"/>
        <v>16</v>
      </c>
      <c r="D36" s="55">
        <f>D35*(1+'Barista FIRE '!$H$5)</f>
        <v>0</v>
      </c>
      <c r="E36" s="56">
        <f>D36*(1-'Barista FIRE '!$H$7)/12</f>
        <v>0</v>
      </c>
      <c r="F36" s="55">
        <f t="shared" si="7"/>
        <v>0</v>
      </c>
      <c r="G36" s="57"/>
      <c r="H36" s="55">
        <f t="shared" si="8"/>
        <v>0</v>
      </c>
      <c r="I36" s="59"/>
      <c r="J36" s="57"/>
      <c r="K36" s="55">
        <f t="shared" si="2"/>
        <v>0</v>
      </c>
      <c r="L36" s="106">
        <f t="shared" si="3"/>
        <v>0</v>
      </c>
      <c r="M36" s="55">
        <f>(M35+L36)*(1+'Barista FIRE '!$H$8)</f>
        <v>0</v>
      </c>
      <c r="N36" s="58">
        <f t="shared" si="9"/>
        <v>0</v>
      </c>
      <c r="O36" s="55">
        <f>M36*'Barista FIRE '!$H$9</f>
        <v>0</v>
      </c>
      <c r="P36" s="104">
        <f t="shared" si="4"/>
        <v>0</v>
      </c>
      <c r="Q36" s="72" t="str">
        <f t="shared" si="5"/>
        <v>Barista FIRE</v>
      </c>
      <c r="R36" s="1"/>
      <c r="S36" s="1"/>
      <c r="T36" s="1"/>
      <c r="U36" s="1"/>
      <c r="V36" s="1"/>
    </row>
    <row r="37" ht="15.75" customHeight="1">
      <c r="A37" s="53">
        <f t="shared" ref="A37:C37" si="23">A36+1</f>
        <v>16</v>
      </c>
      <c r="B37" s="65">
        <f t="shared" si="23"/>
        <v>16</v>
      </c>
      <c r="C37" s="65">
        <f t="shared" si="23"/>
        <v>17</v>
      </c>
      <c r="D37" s="104">
        <f>D36*(1+'Barista FIRE '!$H$5)</f>
        <v>0</v>
      </c>
      <c r="E37" s="105">
        <f>D37*(1-'Barista FIRE '!$H$7)/12</f>
        <v>0</v>
      </c>
      <c r="F37" s="104">
        <f t="shared" si="7"/>
        <v>0</v>
      </c>
      <c r="G37" s="57"/>
      <c r="H37" s="104">
        <f t="shared" si="8"/>
        <v>0</v>
      </c>
      <c r="I37" s="59"/>
      <c r="J37" s="57"/>
      <c r="K37" s="104">
        <f t="shared" si="2"/>
        <v>0</v>
      </c>
      <c r="L37" s="106">
        <f t="shared" si="3"/>
        <v>0</v>
      </c>
      <c r="M37" s="55">
        <f>(M36+L37)*(1+'Barista FIRE '!$H$8)</f>
        <v>0</v>
      </c>
      <c r="N37" s="58">
        <f t="shared" si="9"/>
        <v>0</v>
      </c>
      <c r="O37" s="104">
        <f>M37*'Barista FIRE '!$H$9</f>
        <v>0</v>
      </c>
      <c r="P37" s="104">
        <f t="shared" si="4"/>
        <v>0</v>
      </c>
      <c r="Q37" s="72" t="str">
        <f t="shared" si="5"/>
        <v>Barista FIRE</v>
      </c>
      <c r="R37" s="1"/>
      <c r="S37" s="1"/>
      <c r="T37" s="1"/>
      <c r="U37" s="1"/>
      <c r="V37" s="1"/>
    </row>
    <row r="38" ht="15.75" customHeight="1">
      <c r="A38" s="53">
        <f t="shared" ref="A38:C38" si="24">A37+1</f>
        <v>17</v>
      </c>
      <c r="B38" s="54">
        <f t="shared" si="24"/>
        <v>17</v>
      </c>
      <c r="C38" s="54">
        <f t="shared" si="24"/>
        <v>18</v>
      </c>
      <c r="D38" s="55">
        <f>D37*(1+'Barista FIRE '!$H$5)</f>
        <v>0</v>
      </c>
      <c r="E38" s="56">
        <f>D38*(1-'Barista FIRE '!$H$7)/12</f>
        <v>0</v>
      </c>
      <c r="F38" s="55">
        <f t="shared" si="7"/>
        <v>0</v>
      </c>
      <c r="G38" s="57"/>
      <c r="H38" s="55">
        <f t="shared" si="8"/>
        <v>0</v>
      </c>
      <c r="I38" s="59"/>
      <c r="J38" s="57"/>
      <c r="K38" s="55">
        <f t="shared" si="2"/>
        <v>0</v>
      </c>
      <c r="L38" s="106">
        <f t="shared" si="3"/>
        <v>0</v>
      </c>
      <c r="M38" s="55">
        <f>(M37+L38)*(1+'Barista FIRE '!$H$8)</f>
        <v>0</v>
      </c>
      <c r="N38" s="58">
        <f t="shared" si="9"/>
        <v>0</v>
      </c>
      <c r="O38" s="55">
        <f>M38*'Barista FIRE '!$H$9</f>
        <v>0</v>
      </c>
      <c r="P38" s="104">
        <f t="shared" si="4"/>
        <v>0</v>
      </c>
      <c r="Q38" s="72" t="str">
        <f t="shared" si="5"/>
        <v>Barista FIRE</v>
      </c>
      <c r="R38" s="1"/>
      <c r="S38" s="1"/>
      <c r="T38" s="1"/>
      <c r="U38" s="1"/>
      <c r="V38" s="1"/>
    </row>
    <row r="39" ht="15.75" customHeight="1">
      <c r="A39" s="53">
        <f t="shared" ref="A39:C39" si="25">A38+1</f>
        <v>18</v>
      </c>
      <c r="B39" s="65">
        <f t="shared" si="25"/>
        <v>18</v>
      </c>
      <c r="C39" s="65">
        <f t="shared" si="25"/>
        <v>19</v>
      </c>
      <c r="D39" s="104">
        <f>D38*(1+'Barista FIRE '!$H$5)</f>
        <v>0</v>
      </c>
      <c r="E39" s="105">
        <f>D39*(1-'Barista FIRE '!$H$7)/12</f>
        <v>0</v>
      </c>
      <c r="F39" s="104">
        <f t="shared" si="7"/>
        <v>0</v>
      </c>
      <c r="G39" s="57"/>
      <c r="H39" s="104">
        <f t="shared" si="8"/>
        <v>0</v>
      </c>
      <c r="I39" s="59"/>
      <c r="J39" s="57"/>
      <c r="K39" s="104">
        <f t="shared" si="2"/>
        <v>0</v>
      </c>
      <c r="L39" s="106">
        <f t="shared" si="3"/>
        <v>0</v>
      </c>
      <c r="M39" s="55">
        <f>(M38+L39)*(1+'Barista FIRE '!$H$8)</f>
        <v>0</v>
      </c>
      <c r="N39" s="58">
        <f t="shared" si="9"/>
        <v>0</v>
      </c>
      <c r="O39" s="104">
        <f>M39*'Barista FIRE '!$H$9</f>
        <v>0</v>
      </c>
      <c r="P39" s="104">
        <f t="shared" si="4"/>
        <v>0</v>
      </c>
      <c r="Q39" s="72" t="str">
        <f t="shared" si="5"/>
        <v>Barista FIRE</v>
      </c>
      <c r="R39" s="1"/>
      <c r="S39" s="1"/>
      <c r="T39" s="1"/>
      <c r="U39" s="1"/>
      <c r="V39" s="1"/>
    </row>
    <row r="40" ht="15.75" customHeight="1">
      <c r="A40" s="53">
        <f t="shared" ref="A40:C40" si="26">A39+1</f>
        <v>19</v>
      </c>
      <c r="B40" s="54">
        <f t="shared" si="26"/>
        <v>19</v>
      </c>
      <c r="C40" s="54">
        <f t="shared" si="26"/>
        <v>20</v>
      </c>
      <c r="D40" s="55">
        <f>D39*(1+'Barista FIRE '!$H$5)</f>
        <v>0</v>
      </c>
      <c r="E40" s="56">
        <f>D40*(1-'Barista FIRE '!$H$7)/12</f>
        <v>0</v>
      </c>
      <c r="F40" s="55">
        <f t="shared" si="7"/>
        <v>0</v>
      </c>
      <c r="G40" s="57"/>
      <c r="H40" s="55">
        <f t="shared" si="8"/>
        <v>0</v>
      </c>
      <c r="I40" s="59"/>
      <c r="J40" s="57"/>
      <c r="K40" s="55">
        <f t="shared" si="2"/>
        <v>0</v>
      </c>
      <c r="L40" s="106">
        <f t="shared" si="3"/>
        <v>0</v>
      </c>
      <c r="M40" s="55">
        <f>(M39+L40)*(1+'Barista FIRE '!$H$8)</f>
        <v>0</v>
      </c>
      <c r="N40" s="58">
        <f t="shared" si="9"/>
        <v>0</v>
      </c>
      <c r="O40" s="55">
        <f>M40*'Barista FIRE '!$H$9</f>
        <v>0</v>
      </c>
      <c r="P40" s="104">
        <f t="shared" si="4"/>
        <v>0</v>
      </c>
      <c r="Q40" s="72" t="str">
        <f t="shared" si="5"/>
        <v>Barista FIRE</v>
      </c>
      <c r="R40" s="1"/>
      <c r="S40" s="1"/>
      <c r="T40" s="1"/>
      <c r="U40" s="1"/>
      <c r="V40" s="1"/>
    </row>
    <row r="41" ht="15.75" customHeight="1">
      <c r="A41" s="53">
        <f t="shared" ref="A41:C41" si="27">A40+1</f>
        <v>20</v>
      </c>
      <c r="B41" s="65">
        <f t="shared" si="27"/>
        <v>20</v>
      </c>
      <c r="C41" s="65">
        <f t="shared" si="27"/>
        <v>21</v>
      </c>
      <c r="D41" s="104">
        <f>D40*(1+'Barista FIRE '!$H$5)</f>
        <v>0</v>
      </c>
      <c r="E41" s="105">
        <f>D41*(1-'Barista FIRE '!$H$7)/12</f>
        <v>0</v>
      </c>
      <c r="F41" s="104">
        <f t="shared" si="7"/>
        <v>0</v>
      </c>
      <c r="G41" s="57"/>
      <c r="H41" s="104">
        <f t="shared" si="8"/>
        <v>0</v>
      </c>
      <c r="I41" s="59"/>
      <c r="J41" s="57"/>
      <c r="K41" s="104">
        <f t="shared" si="2"/>
        <v>0</v>
      </c>
      <c r="L41" s="106">
        <f t="shared" si="3"/>
        <v>0</v>
      </c>
      <c r="M41" s="55">
        <f>(M40+L41)*(1+'Barista FIRE '!$H$8)</f>
        <v>0</v>
      </c>
      <c r="N41" s="58">
        <f t="shared" si="9"/>
        <v>0</v>
      </c>
      <c r="O41" s="104">
        <f>M41*'Barista FIRE '!$H$9</f>
        <v>0</v>
      </c>
      <c r="P41" s="104">
        <f t="shared" si="4"/>
        <v>0</v>
      </c>
      <c r="Q41" s="72" t="str">
        <f t="shared" si="5"/>
        <v>Barista FIRE</v>
      </c>
      <c r="R41" s="1"/>
      <c r="S41" s="1"/>
      <c r="T41" s="1"/>
      <c r="U41" s="1"/>
      <c r="V41" s="1"/>
    </row>
    <row r="42" ht="15.75" customHeight="1">
      <c r="A42" s="53">
        <f t="shared" ref="A42:C42" si="28">A41+1</f>
        <v>21</v>
      </c>
      <c r="B42" s="54">
        <f t="shared" si="28"/>
        <v>21</v>
      </c>
      <c r="C42" s="54">
        <f t="shared" si="28"/>
        <v>22</v>
      </c>
      <c r="D42" s="55">
        <f>D41*(1+'Barista FIRE '!$H$5)</f>
        <v>0</v>
      </c>
      <c r="E42" s="56">
        <f>D42*(1-'Barista FIRE '!$H$7)/12</f>
        <v>0</v>
      </c>
      <c r="F42" s="55">
        <f t="shared" si="7"/>
        <v>0</v>
      </c>
      <c r="G42" s="57"/>
      <c r="H42" s="55">
        <f t="shared" si="8"/>
        <v>0</v>
      </c>
      <c r="I42" s="59"/>
      <c r="J42" s="57"/>
      <c r="K42" s="55">
        <f t="shared" si="2"/>
        <v>0</v>
      </c>
      <c r="L42" s="106">
        <f t="shared" si="3"/>
        <v>0</v>
      </c>
      <c r="M42" s="55">
        <f>(M41+L42)*(1+'Barista FIRE '!$H$8)</f>
        <v>0</v>
      </c>
      <c r="N42" s="58">
        <f t="shared" si="9"/>
        <v>0</v>
      </c>
      <c r="O42" s="55">
        <f>M42*'Barista FIRE '!$H$9</f>
        <v>0</v>
      </c>
      <c r="P42" s="104">
        <f t="shared" si="4"/>
        <v>0</v>
      </c>
      <c r="Q42" s="72" t="str">
        <f t="shared" si="5"/>
        <v>Barista FIRE</v>
      </c>
      <c r="R42" s="1"/>
      <c r="S42" s="1"/>
      <c r="T42" s="1"/>
      <c r="U42" s="1"/>
      <c r="V42" s="1"/>
    </row>
    <row r="43" ht="15.75" customHeight="1">
      <c r="A43" s="53">
        <f t="shared" ref="A43:C43" si="29">A42+1</f>
        <v>22</v>
      </c>
      <c r="B43" s="65">
        <f t="shared" si="29"/>
        <v>22</v>
      </c>
      <c r="C43" s="65">
        <f t="shared" si="29"/>
        <v>23</v>
      </c>
      <c r="D43" s="104">
        <f>D42*(1+'Barista FIRE '!$H$5)</f>
        <v>0</v>
      </c>
      <c r="E43" s="105">
        <f>D43*(1-'Barista FIRE '!$H$7)/12</f>
        <v>0</v>
      </c>
      <c r="F43" s="104">
        <f t="shared" si="7"/>
        <v>0</v>
      </c>
      <c r="G43" s="57"/>
      <c r="H43" s="104">
        <f t="shared" si="8"/>
        <v>0</v>
      </c>
      <c r="I43" s="59"/>
      <c r="J43" s="57"/>
      <c r="K43" s="104">
        <f t="shared" si="2"/>
        <v>0</v>
      </c>
      <c r="L43" s="106">
        <f t="shared" si="3"/>
        <v>0</v>
      </c>
      <c r="M43" s="55">
        <f>(M42+L43)*(1+'Barista FIRE '!$H$8)</f>
        <v>0</v>
      </c>
      <c r="N43" s="58">
        <f t="shared" si="9"/>
        <v>0</v>
      </c>
      <c r="O43" s="104">
        <f>M43*'Barista FIRE '!$H$9</f>
        <v>0</v>
      </c>
      <c r="P43" s="104">
        <f t="shared" si="4"/>
        <v>0</v>
      </c>
      <c r="Q43" s="72" t="str">
        <f t="shared" si="5"/>
        <v>Barista FIRE</v>
      </c>
      <c r="R43" s="1"/>
      <c r="S43" s="1"/>
      <c r="T43" s="1"/>
      <c r="U43" s="1"/>
      <c r="V43" s="1"/>
    </row>
    <row r="44" ht="15.75" customHeight="1">
      <c r="A44" s="53">
        <f t="shared" ref="A44:C44" si="30">A43+1</f>
        <v>23</v>
      </c>
      <c r="B44" s="54">
        <f t="shared" si="30"/>
        <v>23</v>
      </c>
      <c r="C44" s="54">
        <f t="shared" si="30"/>
        <v>24</v>
      </c>
      <c r="D44" s="55">
        <f>D43*(1+'Barista FIRE '!$H$5)</f>
        <v>0</v>
      </c>
      <c r="E44" s="56">
        <f>D44*(1-'Barista FIRE '!$H$7)/12</f>
        <v>0</v>
      </c>
      <c r="F44" s="55">
        <f t="shared" si="7"/>
        <v>0</v>
      </c>
      <c r="G44" s="57"/>
      <c r="H44" s="55">
        <f t="shared" si="8"/>
        <v>0</v>
      </c>
      <c r="I44" s="59"/>
      <c r="J44" s="57"/>
      <c r="K44" s="55">
        <f t="shared" si="2"/>
        <v>0</v>
      </c>
      <c r="L44" s="106">
        <f t="shared" si="3"/>
        <v>0</v>
      </c>
      <c r="M44" s="55">
        <f>(M43+L44)*(1+'Barista FIRE '!$H$8)</f>
        <v>0</v>
      </c>
      <c r="N44" s="58">
        <f t="shared" si="9"/>
        <v>0</v>
      </c>
      <c r="O44" s="55">
        <f>M44*'Barista FIRE '!$H$9</f>
        <v>0</v>
      </c>
      <c r="P44" s="104">
        <f t="shared" si="4"/>
        <v>0</v>
      </c>
      <c r="Q44" s="72" t="str">
        <f t="shared" si="5"/>
        <v>Barista FIRE</v>
      </c>
      <c r="R44" s="1"/>
      <c r="S44" s="1"/>
      <c r="T44" s="1"/>
      <c r="U44" s="1"/>
      <c r="V44" s="1"/>
    </row>
    <row r="45" ht="15.75" customHeight="1">
      <c r="A45" s="53">
        <f t="shared" ref="A45:C45" si="31">A44+1</f>
        <v>24</v>
      </c>
      <c r="B45" s="65">
        <f t="shared" si="31"/>
        <v>24</v>
      </c>
      <c r="C45" s="65">
        <f t="shared" si="31"/>
        <v>25</v>
      </c>
      <c r="D45" s="104">
        <f>D44*(1+'Barista FIRE '!$H$5)</f>
        <v>0</v>
      </c>
      <c r="E45" s="105">
        <f>D45*(1-'Barista FIRE '!$H$7)/12</f>
        <v>0</v>
      </c>
      <c r="F45" s="104">
        <f t="shared" si="7"/>
        <v>0</v>
      </c>
      <c r="G45" s="57"/>
      <c r="H45" s="104">
        <f t="shared" si="8"/>
        <v>0</v>
      </c>
      <c r="I45" s="59"/>
      <c r="J45" s="57"/>
      <c r="K45" s="104">
        <f t="shared" si="2"/>
        <v>0</v>
      </c>
      <c r="L45" s="106">
        <f t="shared" si="3"/>
        <v>0</v>
      </c>
      <c r="M45" s="55">
        <f>(M44+L45)*(1+'Barista FIRE '!$H$8)</f>
        <v>0</v>
      </c>
      <c r="N45" s="58">
        <f t="shared" si="9"/>
        <v>0</v>
      </c>
      <c r="O45" s="104">
        <f>M45*'Barista FIRE '!$H$9</f>
        <v>0</v>
      </c>
      <c r="P45" s="104">
        <f t="shared" si="4"/>
        <v>0</v>
      </c>
      <c r="Q45" s="72" t="str">
        <f t="shared" si="5"/>
        <v>Barista FIRE</v>
      </c>
      <c r="R45" s="1"/>
      <c r="S45" s="1"/>
      <c r="T45" s="1"/>
      <c r="U45" s="1"/>
      <c r="V45" s="1"/>
    </row>
    <row r="46" ht="15.75" customHeight="1">
      <c r="A46" s="53">
        <f t="shared" ref="A46:C46" si="32">A45+1</f>
        <v>25</v>
      </c>
      <c r="B46" s="54">
        <f t="shared" si="32"/>
        <v>25</v>
      </c>
      <c r="C46" s="54">
        <f t="shared" si="32"/>
        <v>26</v>
      </c>
      <c r="D46" s="55">
        <f>D45*(1+'Barista FIRE '!$H$5)</f>
        <v>0</v>
      </c>
      <c r="E46" s="56">
        <f>D46*(1-'Barista FIRE '!$H$7)/12</f>
        <v>0</v>
      </c>
      <c r="F46" s="55">
        <f t="shared" si="7"/>
        <v>0</v>
      </c>
      <c r="G46" s="57"/>
      <c r="H46" s="55">
        <f t="shared" si="8"/>
        <v>0</v>
      </c>
      <c r="I46" s="59"/>
      <c r="J46" s="57"/>
      <c r="K46" s="55">
        <f t="shared" si="2"/>
        <v>0</v>
      </c>
      <c r="L46" s="106">
        <f t="shared" si="3"/>
        <v>0</v>
      </c>
      <c r="M46" s="55">
        <f>(M45+L46)*(1+'Barista FIRE '!$H$8)</f>
        <v>0</v>
      </c>
      <c r="N46" s="58">
        <f t="shared" si="9"/>
        <v>0</v>
      </c>
      <c r="O46" s="55">
        <f>M46*'Barista FIRE '!$H$9</f>
        <v>0</v>
      </c>
      <c r="P46" s="104">
        <f t="shared" si="4"/>
        <v>0</v>
      </c>
      <c r="Q46" s="72" t="str">
        <f t="shared" si="5"/>
        <v>Barista FIRE</v>
      </c>
      <c r="R46" s="1"/>
      <c r="S46" s="1"/>
      <c r="T46" s="1"/>
      <c r="U46" s="1"/>
      <c r="V46" s="1"/>
    </row>
    <row r="47" ht="15.75" customHeight="1">
      <c r="A47" s="53">
        <f t="shared" ref="A47:C47" si="33">A46+1</f>
        <v>26</v>
      </c>
      <c r="B47" s="65">
        <f t="shared" si="33"/>
        <v>26</v>
      </c>
      <c r="C47" s="65">
        <f t="shared" si="33"/>
        <v>27</v>
      </c>
      <c r="D47" s="104">
        <f>D46*(1+'Barista FIRE '!$H$5)</f>
        <v>0</v>
      </c>
      <c r="E47" s="105">
        <f>D47*(1-'Barista FIRE '!$H$7)/12</f>
        <v>0</v>
      </c>
      <c r="F47" s="104">
        <f t="shared" si="7"/>
        <v>0</v>
      </c>
      <c r="G47" s="57"/>
      <c r="H47" s="104">
        <f t="shared" si="8"/>
        <v>0</v>
      </c>
      <c r="I47" s="59"/>
      <c r="J47" s="57"/>
      <c r="K47" s="104">
        <f t="shared" si="2"/>
        <v>0</v>
      </c>
      <c r="L47" s="106">
        <f t="shared" si="3"/>
        <v>0</v>
      </c>
      <c r="M47" s="55">
        <f>(M46+L47)*(1+'Barista FIRE '!$H$8)</f>
        <v>0</v>
      </c>
      <c r="N47" s="58">
        <f t="shared" si="9"/>
        <v>0</v>
      </c>
      <c r="O47" s="104">
        <f>M47*'Barista FIRE '!$H$9</f>
        <v>0</v>
      </c>
      <c r="P47" s="104">
        <f t="shared" si="4"/>
        <v>0</v>
      </c>
      <c r="Q47" s="72" t="str">
        <f t="shared" si="5"/>
        <v>Barista FIRE</v>
      </c>
      <c r="R47" s="1"/>
      <c r="S47" s="1"/>
      <c r="T47" s="1"/>
      <c r="U47" s="1"/>
      <c r="V47" s="1"/>
    </row>
    <row r="48" ht="15.75" customHeight="1">
      <c r="A48" s="53">
        <f t="shared" ref="A48:C48" si="34">A47+1</f>
        <v>27</v>
      </c>
      <c r="B48" s="54">
        <f t="shared" si="34"/>
        <v>27</v>
      </c>
      <c r="C48" s="54">
        <f t="shared" si="34"/>
        <v>28</v>
      </c>
      <c r="D48" s="55">
        <f>D47*(1+'Barista FIRE '!$H$5)</f>
        <v>0</v>
      </c>
      <c r="E48" s="56">
        <f>D48*(1-'Barista FIRE '!$H$7)/12</f>
        <v>0</v>
      </c>
      <c r="F48" s="55">
        <f t="shared" si="7"/>
        <v>0</v>
      </c>
      <c r="G48" s="57"/>
      <c r="H48" s="55">
        <f t="shared" si="8"/>
        <v>0</v>
      </c>
      <c r="I48" s="59"/>
      <c r="J48" s="57"/>
      <c r="K48" s="55">
        <f t="shared" si="2"/>
        <v>0</v>
      </c>
      <c r="L48" s="106">
        <f t="shared" si="3"/>
        <v>0</v>
      </c>
      <c r="M48" s="55">
        <f>(M47+L48)*(1+'Barista FIRE '!$H$8)</f>
        <v>0</v>
      </c>
      <c r="N48" s="58">
        <f t="shared" si="9"/>
        <v>0</v>
      </c>
      <c r="O48" s="55">
        <f>M48*'Barista FIRE '!$H$9</f>
        <v>0</v>
      </c>
      <c r="P48" s="104">
        <f t="shared" si="4"/>
        <v>0</v>
      </c>
      <c r="Q48" s="72" t="str">
        <f t="shared" si="5"/>
        <v>Barista FIRE</v>
      </c>
      <c r="R48" s="1"/>
      <c r="S48" s="1"/>
      <c r="T48" s="1"/>
      <c r="U48" s="1"/>
      <c r="V48" s="1"/>
    </row>
    <row r="49" ht="15.75" customHeight="1">
      <c r="A49" s="53">
        <f t="shared" ref="A49:C49" si="35">A48+1</f>
        <v>28</v>
      </c>
      <c r="B49" s="65">
        <f t="shared" si="35"/>
        <v>28</v>
      </c>
      <c r="C49" s="65">
        <f t="shared" si="35"/>
        <v>29</v>
      </c>
      <c r="D49" s="104">
        <f>D48*(1+'Barista FIRE '!$H$5)</f>
        <v>0</v>
      </c>
      <c r="E49" s="105">
        <f>D49*(1-'Barista FIRE '!$H$7)/12</f>
        <v>0</v>
      </c>
      <c r="F49" s="104">
        <f t="shared" si="7"/>
        <v>0</v>
      </c>
      <c r="G49" s="57"/>
      <c r="H49" s="104">
        <f t="shared" si="8"/>
        <v>0</v>
      </c>
      <c r="I49" s="59"/>
      <c r="J49" s="57"/>
      <c r="K49" s="104">
        <f t="shared" si="2"/>
        <v>0</v>
      </c>
      <c r="L49" s="106">
        <f t="shared" si="3"/>
        <v>0</v>
      </c>
      <c r="M49" s="55">
        <f>(M48+L49)*(1+'Barista FIRE '!$H$8)</f>
        <v>0</v>
      </c>
      <c r="N49" s="58">
        <f t="shared" si="9"/>
        <v>0</v>
      </c>
      <c r="O49" s="104">
        <f>M49*'Barista FIRE '!$H$9</f>
        <v>0</v>
      </c>
      <c r="P49" s="104">
        <f t="shared" si="4"/>
        <v>0</v>
      </c>
      <c r="Q49" s="72" t="str">
        <f t="shared" si="5"/>
        <v>Barista FIRE</v>
      </c>
      <c r="R49" s="1"/>
      <c r="S49" s="1"/>
      <c r="T49" s="1"/>
      <c r="U49" s="1"/>
      <c r="V49" s="1"/>
    </row>
    <row r="50" ht="15.75" customHeight="1">
      <c r="A50" s="53">
        <f t="shared" ref="A50:C50" si="36">A49+1</f>
        <v>29</v>
      </c>
      <c r="B50" s="54">
        <f t="shared" si="36"/>
        <v>29</v>
      </c>
      <c r="C50" s="54">
        <f t="shared" si="36"/>
        <v>30</v>
      </c>
      <c r="D50" s="55">
        <f>D49*(1+'Barista FIRE '!$H$5)</f>
        <v>0</v>
      </c>
      <c r="E50" s="56">
        <f>D50*(1-'Barista FIRE '!$H$7)/12</f>
        <v>0</v>
      </c>
      <c r="F50" s="55">
        <f t="shared" si="7"/>
        <v>0</v>
      </c>
      <c r="G50" s="57"/>
      <c r="H50" s="55">
        <f t="shared" si="8"/>
        <v>0</v>
      </c>
      <c r="I50" s="59"/>
      <c r="J50" s="57"/>
      <c r="K50" s="55">
        <f t="shared" si="2"/>
        <v>0</v>
      </c>
      <c r="L50" s="106">
        <f t="shared" si="3"/>
        <v>0</v>
      </c>
      <c r="M50" s="55">
        <f>(M49+L50)*(1+'Barista FIRE '!$H$8)</f>
        <v>0</v>
      </c>
      <c r="N50" s="58">
        <f t="shared" si="9"/>
        <v>0</v>
      </c>
      <c r="O50" s="55">
        <f>M50*'Barista FIRE '!$H$9</f>
        <v>0</v>
      </c>
      <c r="P50" s="104">
        <f t="shared" si="4"/>
        <v>0</v>
      </c>
      <c r="Q50" s="72" t="str">
        <f t="shared" si="5"/>
        <v>Barista FIRE</v>
      </c>
      <c r="R50" s="1"/>
      <c r="S50" s="1"/>
      <c r="T50" s="1"/>
      <c r="U50" s="1"/>
      <c r="V50" s="1"/>
    </row>
    <row r="51" ht="15.75" customHeight="1">
      <c r="A51" s="53">
        <f t="shared" ref="A51:C51" si="37">A50+1</f>
        <v>30</v>
      </c>
      <c r="B51" s="65">
        <f t="shared" si="37"/>
        <v>30</v>
      </c>
      <c r="C51" s="65">
        <f t="shared" si="37"/>
        <v>31</v>
      </c>
      <c r="D51" s="104">
        <f>D50*(1+'Barista FIRE '!$H$5)</f>
        <v>0</v>
      </c>
      <c r="E51" s="105">
        <f>D51*(1-'Barista FIRE '!$H$7)/12</f>
        <v>0</v>
      </c>
      <c r="F51" s="104">
        <f t="shared" si="7"/>
        <v>0</v>
      </c>
      <c r="G51" s="57"/>
      <c r="H51" s="104">
        <f t="shared" si="8"/>
        <v>0</v>
      </c>
      <c r="I51" s="59"/>
      <c r="J51" s="57"/>
      <c r="K51" s="104">
        <f t="shared" si="2"/>
        <v>0</v>
      </c>
      <c r="L51" s="106">
        <f t="shared" si="3"/>
        <v>0</v>
      </c>
      <c r="M51" s="55">
        <f>(M50+L51)*(1+'Barista FIRE '!$H$8)</f>
        <v>0</v>
      </c>
      <c r="N51" s="58">
        <f t="shared" si="9"/>
        <v>0</v>
      </c>
      <c r="O51" s="104">
        <f>M51*'Barista FIRE '!$H$9</f>
        <v>0</v>
      </c>
      <c r="P51" s="104">
        <f t="shared" si="4"/>
        <v>0</v>
      </c>
      <c r="Q51" s="72" t="str">
        <f t="shared" si="5"/>
        <v>Barista FIRE</v>
      </c>
      <c r="R51" s="1"/>
      <c r="S51" s="1"/>
      <c r="T51" s="1"/>
      <c r="U51" s="1"/>
      <c r="V51" s="1"/>
    </row>
    <row r="52" ht="15.75" customHeight="1">
      <c r="A52" s="53">
        <f t="shared" ref="A52:C52" si="38">A51+1</f>
        <v>31</v>
      </c>
      <c r="B52" s="54">
        <f t="shared" si="38"/>
        <v>31</v>
      </c>
      <c r="C52" s="54">
        <f t="shared" si="38"/>
        <v>32</v>
      </c>
      <c r="D52" s="55">
        <f>D51*(1+'Barista FIRE '!$H$5)</f>
        <v>0</v>
      </c>
      <c r="E52" s="56">
        <f>D52*(1-'Barista FIRE '!$H$7)/12</f>
        <v>0</v>
      </c>
      <c r="F52" s="55">
        <f t="shared" si="7"/>
        <v>0</v>
      </c>
      <c r="G52" s="57"/>
      <c r="H52" s="55">
        <f t="shared" si="8"/>
        <v>0</v>
      </c>
      <c r="I52" s="59"/>
      <c r="J52" s="57"/>
      <c r="K52" s="55">
        <f t="shared" si="2"/>
        <v>0</v>
      </c>
      <c r="L52" s="106">
        <f t="shared" si="3"/>
        <v>0</v>
      </c>
      <c r="M52" s="55">
        <f>(M51+L52)*(1+'Barista FIRE '!$H$8)</f>
        <v>0</v>
      </c>
      <c r="N52" s="58">
        <f t="shared" si="9"/>
        <v>0</v>
      </c>
      <c r="O52" s="55">
        <f>M52*'Barista FIRE '!$H$9</f>
        <v>0</v>
      </c>
      <c r="P52" s="104">
        <f t="shared" si="4"/>
        <v>0</v>
      </c>
      <c r="Q52" s="72" t="str">
        <f t="shared" si="5"/>
        <v>Barista FIRE</v>
      </c>
      <c r="R52" s="1"/>
      <c r="S52" s="1"/>
      <c r="T52" s="1"/>
      <c r="U52" s="1"/>
      <c r="V52" s="1"/>
    </row>
    <row r="53" ht="15.75" customHeight="1">
      <c r="A53" s="53">
        <f t="shared" ref="A53:C53" si="39">A52+1</f>
        <v>32</v>
      </c>
      <c r="B53" s="65">
        <f t="shared" si="39"/>
        <v>32</v>
      </c>
      <c r="C53" s="65">
        <f t="shared" si="39"/>
        <v>33</v>
      </c>
      <c r="D53" s="104">
        <f>D52*(1+'Barista FIRE '!$H$5)</f>
        <v>0</v>
      </c>
      <c r="E53" s="105">
        <f>D53*(1-'Barista FIRE '!$H$7)/12</f>
        <v>0</v>
      </c>
      <c r="F53" s="104">
        <f t="shared" si="7"/>
        <v>0</v>
      </c>
      <c r="G53" s="57"/>
      <c r="H53" s="104">
        <f t="shared" si="8"/>
        <v>0</v>
      </c>
      <c r="I53" s="59"/>
      <c r="J53" s="57"/>
      <c r="K53" s="104">
        <f t="shared" si="2"/>
        <v>0</v>
      </c>
      <c r="L53" s="106">
        <f t="shared" si="3"/>
        <v>0</v>
      </c>
      <c r="M53" s="55">
        <f>(M52+L53)*(1+'Barista FIRE '!$H$8)</f>
        <v>0</v>
      </c>
      <c r="N53" s="58">
        <f t="shared" si="9"/>
        <v>0</v>
      </c>
      <c r="O53" s="104">
        <f>M53*'Barista FIRE '!$H$9</f>
        <v>0</v>
      </c>
      <c r="P53" s="104">
        <f t="shared" si="4"/>
        <v>0</v>
      </c>
      <c r="Q53" s="72" t="str">
        <f t="shared" si="5"/>
        <v>Barista FIRE</v>
      </c>
      <c r="R53" s="1"/>
      <c r="S53" s="1"/>
      <c r="T53" s="1"/>
      <c r="U53" s="1"/>
      <c r="V53" s="1"/>
    </row>
    <row r="54" ht="15.75" customHeight="1">
      <c r="A54" s="53">
        <f t="shared" ref="A54:C54" si="40">A53+1</f>
        <v>33</v>
      </c>
      <c r="B54" s="54">
        <f t="shared" si="40"/>
        <v>33</v>
      </c>
      <c r="C54" s="54">
        <f t="shared" si="40"/>
        <v>34</v>
      </c>
      <c r="D54" s="55">
        <f>D53*(1+'Barista FIRE '!$H$5)</f>
        <v>0</v>
      </c>
      <c r="E54" s="56">
        <f>D54*(1-'Barista FIRE '!$H$7)/12</f>
        <v>0</v>
      </c>
      <c r="F54" s="55">
        <f t="shared" si="7"/>
        <v>0</v>
      </c>
      <c r="G54" s="57"/>
      <c r="H54" s="55">
        <f t="shared" si="8"/>
        <v>0</v>
      </c>
      <c r="I54" s="59"/>
      <c r="J54" s="57"/>
      <c r="K54" s="55">
        <f t="shared" si="2"/>
        <v>0</v>
      </c>
      <c r="L54" s="106">
        <f t="shared" si="3"/>
        <v>0</v>
      </c>
      <c r="M54" s="55">
        <f>(M53+L54)*(1+'Barista FIRE '!$H$8)</f>
        <v>0</v>
      </c>
      <c r="N54" s="58">
        <f t="shared" si="9"/>
        <v>0</v>
      </c>
      <c r="O54" s="55">
        <f>M54*'Barista FIRE '!$H$9</f>
        <v>0</v>
      </c>
      <c r="P54" s="104">
        <f t="shared" si="4"/>
        <v>0</v>
      </c>
      <c r="Q54" s="72" t="str">
        <f t="shared" si="5"/>
        <v>Barista FIRE</v>
      </c>
      <c r="R54" s="1"/>
      <c r="S54" s="1"/>
      <c r="T54" s="1"/>
      <c r="U54" s="1"/>
      <c r="V54" s="1"/>
    </row>
    <row r="55" ht="15.75" customHeight="1">
      <c r="A55" s="53">
        <f t="shared" ref="A55:C55" si="41">A54+1</f>
        <v>34</v>
      </c>
      <c r="B55" s="65">
        <f t="shared" si="41"/>
        <v>34</v>
      </c>
      <c r="C55" s="65">
        <f t="shared" si="41"/>
        <v>35</v>
      </c>
      <c r="D55" s="104">
        <f>D54*(1+'Barista FIRE '!$H$5)</f>
        <v>0</v>
      </c>
      <c r="E55" s="105">
        <f>D55*(1-'Barista FIRE '!$H$7)/12</f>
        <v>0</v>
      </c>
      <c r="F55" s="104">
        <f t="shared" si="7"/>
        <v>0</v>
      </c>
      <c r="G55" s="57"/>
      <c r="H55" s="104">
        <f t="shared" si="8"/>
        <v>0</v>
      </c>
      <c r="I55" s="59"/>
      <c r="J55" s="57"/>
      <c r="K55" s="104">
        <f t="shared" si="2"/>
        <v>0</v>
      </c>
      <c r="L55" s="106">
        <f t="shared" si="3"/>
        <v>0</v>
      </c>
      <c r="M55" s="55">
        <f>(M54+L55)*(1+'Barista FIRE '!$H$8)</f>
        <v>0</v>
      </c>
      <c r="N55" s="58">
        <f t="shared" si="9"/>
        <v>0</v>
      </c>
      <c r="O55" s="104">
        <f>M55*'Barista FIRE '!$H$9</f>
        <v>0</v>
      </c>
      <c r="P55" s="104">
        <f t="shared" si="4"/>
        <v>0</v>
      </c>
      <c r="Q55" s="72" t="str">
        <f t="shared" si="5"/>
        <v>Barista FIRE</v>
      </c>
      <c r="R55" s="1"/>
      <c r="S55" s="1"/>
      <c r="T55" s="1"/>
      <c r="U55" s="1"/>
      <c r="V55" s="1"/>
    </row>
    <row r="56" ht="15.75" customHeight="1">
      <c r="A56" s="53">
        <f t="shared" ref="A56:C56" si="42">A55+1</f>
        <v>35</v>
      </c>
      <c r="B56" s="54">
        <f t="shared" si="42"/>
        <v>35</v>
      </c>
      <c r="C56" s="54">
        <f t="shared" si="42"/>
        <v>36</v>
      </c>
      <c r="D56" s="55">
        <f>D55*(1+'Barista FIRE '!$H$5)</f>
        <v>0</v>
      </c>
      <c r="E56" s="56">
        <f>D56*(1-'Barista FIRE '!$H$7)/12</f>
        <v>0</v>
      </c>
      <c r="F56" s="55">
        <f t="shared" si="7"/>
        <v>0</v>
      </c>
      <c r="G56" s="57"/>
      <c r="H56" s="55">
        <f t="shared" si="8"/>
        <v>0</v>
      </c>
      <c r="I56" s="59"/>
      <c r="J56" s="57"/>
      <c r="K56" s="55">
        <f t="shared" si="2"/>
        <v>0</v>
      </c>
      <c r="L56" s="106">
        <f t="shared" si="3"/>
        <v>0</v>
      </c>
      <c r="M56" s="55">
        <f>(M55+L56)*(1+'Barista FIRE '!$H$8)</f>
        <v>0</v>
      </c>
      <c r="N56" s="58">
        <f t="shared" si="9"/>
        <v>0</v>
      </c>
      <c r="O56" s="55">
        <f>M56*'Barista FIRE '!$H$9</f>
        <v>0</v>
      </c>
      <c r="P56" s="104">
        <f t="shared" si="4"/>
        <v>0</v>
      </c>
      <c r="Q56" s="72" t="str">
        <f t="shared" si="5"/>
        <v>Barista FIRE</v>
      </c>
      <c r="R56" s="1"/>
      <c r="S56" s="1"/>
      <c r="T56" s="1"/>
      <c r="U56" s="1"/>
      <c r="V56" s="1"/>
    </row>
    <row r="57" ht="15.75" customHeight="1">
      <c r="A57" s="53">
        <f t="shared" ref="A57:B57" si="43">A56+1</f>
        <v>36</v>
      </c>
      <c r="B57" s="65">
        <f t="shared" si="43"/>
        <v>36</v>
      </c>
      <c r="C57" s="65">
        <f>C55+1</f>
        <v>36</v>
      </c>
      <c r="D57" s="104">
        <f>D55*(1+'Barista FIRE '!$H$5)</f>
        <v>0</v>
      </c>
      <c r="E57" s="105">
        <f>D57*(1-'Barista FIRE '!$H$7)/12</f>
        <v>0</v>
      </c>
      <c r="F57" s="104">
        <f t="shared" si="7"/>
        <v>0</v>
      </c>
      <c r="G57" s="57"/>
      <c r="H57" s="104">
        <f t="shared" si="8"/>
        <v>0</v>
      </c>
      <c r="I57" s="59"/>
      <c r="J57" s="57"/>
      <c r="K57" s="104">
        <f t="shared" si="2"/>
        <v>0</v>
      </c>
      <c r="L57" s="106">
        <f t="shared" si="3"/>
        <v>0</v>
      </c>
      <c r="M57" s="55">
        <f>(M56+L57)*(1+'Barista FIRE '!$H$8)</f>
        <v>0</v>
      </c>
      <c r="N57" s="58">
        <f t="shared" si="9"/>
        <v>0</v>
      </c>
      <c r="O57" s="104">
        <f>M57*'Barista FIRE '!$H$9</f>
        <v>0</v>
      </c>
      <c r="P57" s="104">
        <f t="shared" si="4"/>
        <v>0</v>
      </c>
      <c r="Q57" s="72" t="str">
        <f t="shared" si="5"/>
        <v>Barista FIRE</v>
      </c>
      <c r="R57" s="1"/>
      <c r="S57" s="1"/>
      <c r="T57" s="1"/>
      <c r="U57" s="1"/>
      <c r="V57" s="1"/>
    </row>
    <row r="58" ht="15.75" customHeight="1">
      <c r="A58" s="53">
        <f t="shared" ref="A58:C58" si="44">A57+1</f>
        <v>37</v>
      </c>
      <c r="B58" s="54">
        <f t="shared" si="44"/>
        <v>37</v>
      </c>
      <c r="C58" s="54">
        <f t="shared" si="44"/>
        <v>37</v>
      </c>
      <c r="D58" s="55">
        <f>D57*(1+'Barista FIRE '!$H$5)</f>
        <v>0</v>
      </c>
      <c r="E58" s="56">
        <f>D58*(1-'Barista FIRE '!$H$7)/12</f>
        <v>0</v>
      </c>
      <c r="F58" s="55">
        <f t="shared" si="7"/>
        <v>0</v>
      </c>
      <c r="G58" s="57"/>
      <c r="H58" s="55">
        <f t="shared" si="8"/>
        <v>0</v>
      </c>
      <c r="I58" s="59"/>
      <c r="J58" s="57"/>
      <c r="K58" s="55">
        <f t="shared" si="2"/>
        <v>0</v>
      </c>
      <c r="L58" s="106">
        <f t="shared" si="3"/>
        <v>0</v>
      </c>
      <c r="M58" s="55">
        <f>(M57+L58)*(1+'Barista FIRE '!$H$8)</f>
        <v>0</v>
      </c>
      <c r="N58" s="58">
        <f t="shared" si="9"/>
        <v>0</v>
      </c>
      <c r="O58" s="55">
        <f>M58*'Barista FIRE '!$H$9</f>
        <v>0</v>
      </c>
      <c r="P58" s="104">
        <f t="shared" si="4"/>
        <v>0</v>
      </c>
      <c r="Q58" s="72" t="str">
        <f t="shared" si="5"/>
        <v>Barista FIRE</v>
      </c>
      <c r="R58" s="1"/>
      <c r="S58" s="1"/>
      <c r="T58" s="1"/>
      <c r="U58" s="1"/>
      <c r="V58" s="1"/>
    </row>
    <row r="59" ht="15.75" customHeight="1">
      <c r="A59" s="53">
        <f t="shared" ref="A59:C59" si="45">A58+1</f>
        <v>38</v>
      </c>
      <c r="B59" s="65">
        <f t="shared" si="45"/>
        <v>38</v>
      </c>
      <c r="C59" s="65">
        <f t="shared" si="45"/>
        <v>38</v>
      </c>
      <c r="D59" s="104">
        <f>D58*(1+'Barista FIRE '!$H$5)</f>
        <v>0</v>
      </c>
      <c r="E59" s="105">
        <f>D59*(1-'Barista FIRE '!$H$7)/12</f>
        <v>0</v>
      </c>
      <c r="F59" s="104">
        <f t="shared" si="7"/>
        <v>0</v>
      </c>
      <c r="G59" s="57"/>
      <c r="H59" s="104">
        <f t="shared" si="8"/>
        <v>0</v>
      </c>
      <c r="I59" s="59"/>
      <c r="J59" s="57"/>
      <c r="K59" s="104">
        <f t="shared" si="2"/>
        <v>0</v>
      </c>
      <c r="L59" s="106">
        <f t="shared" si="3"/>
        <v>0</v>
      </c>
      <c r="M59" s="55">
        <f>(M58+L59)*(1+'Barista FIRE '!$H$8)</f>
        <v>0</v>
      </c>
      <c r="N59" s="58">
        <f t="shared" si="9"/>
        <v>0</v>
      </c>
      <c r="O59" s="104">
        <f>M59*'Barista FIRE '!$H$9</f>
        <v>0</v>
      </c>
      <c r="P59" s="104">
        <f t="shared" si="4"/>
        <v>0</v>
      </c>
      <c r="Q59" s="72" t="str">
        <f t="shared" si="5"/>
        <v>Barista FIRE</v>
      </c>
      <c r="R59" s="1"/>
      <c r="S59" s="1"/>
      <c r="T59" s="1"/>
      <c r="U59" s="1"/>
      <c r="V59" s="1"/>
    </row>
    <row r="60" ht="15.75" customHeight="1">
      <c r="A60" s="53">
        <f t="shared" ref="A60:C60" si="46">A59+1</f>
        <v>39</v>
      </c>
      <c r="B60" s="54">
        <f t="shared" si="46"/>
        <v>39</v>
      </c>
      <c r="C60" s="54">
        <f t="shared" si="46"/>
        <v>39</v>
      </c>
      <c r="D60" s="55">
        <f>D59*(1+'Barista FIRE '!$H$5)</f>
        <v>0</v>
      </c>
      <c r="E60" s="56">
        <f>D60*(1-'Barista FIRE '!$H$7)/12</f>
        <v>0</v>
      </c>
      <c r="F60" s="55">
        <f t="shared" si="7"/>
        <v>0</v>
      </c>
      <c r="G60" s="57"/>
      <c r="H60" s="55">
        <f t="shared" si="8"/>
        <v>0</v>
      </c>
      <c r="I60" s="59"/>
      <c r="J60" s="57"/>
      <c r="K60" s="55">
        <f t="shared" si="2"/>
        <v>0</v>
      </c>
      <c r="L60" s="106">
        <f t="shared" si="3"/>
        <v>0</v>
      </c>
      <c r="M60" s="55">
        <f>(M59+L60)*(1+'Barista FIRE '!$H$8)</f>
        <v>0</v>
      </c>
      <c r="N60" s="58">
        <f t="shared" si="9"/>
        <v>0</v>
      </c>
      <c r="O60" s="55">
        <f>M60*'Barista FIRE '!$H$9</f>
        <v>0</v>
      </c>
      <c r="P60" s="104">
        <f t="shared" si="4"/>
        <v>0</v>
      </c>
      <c r="Q60" s="72" t="str">
        <f t="shared" si="5"/>
        <v>Barista FIRE</v>
      </c>
      <c r="R60" s="1"/>
      <c r="S60" s="1"/>
      <c r="T60" s="1"/>
      <c r="U60" s="1"/>
      <c r="V60" s="1"/>
    </row>
    <row r="61" ht="15.75" customHeight="1">
      <c r="A61" s="53">
        <f t="shared" ref="A61:C61" si="47">A60+1</f>
        <v>40</v>
      </c>
      <c r="B61" s="65">
        <f t="shared" si="47"/>
        <v>40</v>
      </c>
      <c r="C61" s="65">
        <f t="shared" si="47"/>
        <v>40</v>
      </c>
      <c r="D61" s="104">
        <f>D60*(1+'Barista FIRE '!$H$5)</f>
        <v>0</v>
      </c>
      <c r="E61" s="105">
        <f>D61*(1-'Barista FIRE '!$H$7)/12</f>
        <v>0</v>
      </c>
      <c r="F61" s="104">
        <f t="shared" si="7"/>
        <v>0</v>
      </c>
      <c r="G61" s="57"/>
      <c r="H61" s="104">
        <f t="shared" si="8"/>
        <v>0</v>
      </c>
      <c r="I61" s="59"/>
      <c r="J61" s="57"/>
      <c r="K61" s="104">
        <f t="shared" si="2"/>
        <v>0</v>
      </c>
      <c r="L61" s="106">
        <f t="shared" si="3"/>
        <v>0</v>
      </c>
      <c r="M61" s="55">
        <f>(M60+L61)*(1+'Barista FIRE '!$H$8)</f>
        <v>0</v>
      </c>
      <c r="N61" s="58">
        <f t="shared" si="9"/>
        <v>0</v>
      </c>
      <c r="O61" s="104">
        <f>M61*'Barista FIRE '!$H$9</f>
        <v>0</v>
      </c>
      <c r="P61" s="104">
        <f t="shared" si="4"/>
        <v>0</v>
      </c>
      <c r="Q61" s="72" t="str">
        <f t="shared" si="5"/>
        <v>Barista FIRE</v>
      </c>
      <c r="R61" s="1"/>
      <c r="S61" s="1"/>
      <c r="T61" s="1"/>
      <c r="U61" s="1"/>
      <c r="V61" s="1"/>
    </row>
    <row r="62" ht="15.75" customHeight="1">
      <c r="A62" s="53">
        <f t="shared" ref="A62:C62" si="48">A61+1</f>
        <v>41</v>
      </c>
      <c r="B62" s="54">
        <f t="shared" si="48"/>
        <v>41</v>
      </c>
      <c r="C62" s="54">
        <f t="shared" si="48"/>
        <v>41</v>
      </c>
      <c r="D62" s="55">
        <f>D61*(1+'Barista FIRE '!$H$5)</f>
        <v>0</v>
      </c>
      <c r="E62" s="56">
        <f>D62*(1-'Barista FIRE '!$H$7)/12</f>
        <v>0</v>
      </c>
      <c r="F62" s="55">
        <f t="shared" si="7"/>
        <v>0</v>
      </c>
      <c r="G62" s="57"/>
      <c r="H62" s="55">
        <f t="shared" si="8"/>
        <v>0</v>
      </c>
      <c r="I62" s="59"/>
      <c r="J62" s="57"/>
      <c r="K62" s="55">
        <f t="shared" si="2"/>
        <v>0</v>
      </c>
      <c r="L62" s="106">
        <f t="shared" si="3"/>
        <v>0</v>
      </c>
      <c r="M62" s="55">
        <f>(M61+L62)*(1+'Barista FIRE '!$H$8)</f>
        <v>0</v>
      </c>
      <c r="N62" s="58">
        <f t="shared" si="9"/>
        <v>0</v>
      </c>
      <c r="O62" s="55">
        <f>M62*'Barista FIRE '!$H$9</f>
        <v>0</v>
      </c>
      <c r="P62" s="104">
        <f t="shared" si="4"/>
        <v>0</v>
      </c>
      <c r="Q62" s="72" t="str">
        <f t="shared" si="5"/>
        <v>Barista FIRE</v>
      </c>
      <c r="R62" s="1"/>
      <c r="S62" s="1"/>
      <c r="T62" s="1"/>
      <c r="U62" s="1"/>
      <c r="V62" s="1"/>
    </row>
    <row r="63" ht="15.75" customHeight="1">
      <c r="A63" s="53">
        <f t="shared" ref="A63:C63" si="49">A62+1</f>
        <v>42</v>
      </c>
      <c r="B63" s="65">
        <f t="shared" si="49"/>
        <v>42</v>
      </c>
      <c r="C63" s="65">
        <f t="shared" si="49"/>
        <v>42</v>
      </c>
      <c r="D63" s="104">
        <f>D62*(1+'Barista FIRE '!$H$5)</f>
        <v>0</v>
      </c>
      <c r="E63" s="105">
        <f>D63*(1-'Barista FIRE '!$H$7)/12</f>
        <v>0</v>
      </c>
      <c r="F63" s="104">
        <f t="shared" si="7"/>
        <v>0</v>
      </c>
      <c r="G63" s="57"/>
      <c r="H63" s="104">
        <f t="shared" si="8"/>
        <v>0</v>
      </c>
      <c r="I63" s="59"/>
      <c r="J63" s="57"/>
      <c r="K63" s="104">
        <f t="shared" si="2"/>
        <v>0</v>
      </c>
      <c r="L63" s="106">
        <f t="shared" si="3"/>
        <v>0</v>
      </c>
      <c r="M63" s="55">
        <f>(M62+L63)*(1+'Barista FIRE '!$H$8)</f>
        <v>0</v>
      </c>
      <c r="N63" s="58">
        <f t="shared" si="9"/>
        <v>0</v>
      </c>
      <c r="O63" s="104">
        <f>M63*'Barista FIRE '!$H$9</f>
        <v>0</v>
      </c>
      <c r="P63" s="104">
        <f t="shared" si="4"/>
        <v>0</v>
      </c>
      <c r="Q63" s="72" t="str">
        <f t="shared" si="5"/>
        <v>Barista FIRE</v>
      </c>
      <c r="R63" s="1"/>
      <c r="S63" s="1"/>
      <c r="T63" s="1"/>
      <c r="U63" s="1"/>
      <c r="V63" s="1"/>
    </row>
    <row r="64" ht="15.75" customHeight="1">
      <c r="A64" s="53">
        <f t="shared" ref="A64:C64" si="50">A63+1</f>
        <v>43</v>
      </c>
      <c r="B64" s="54">
        <f t="shared" si="50"/>
        <v>43</v>
      </c>
      <c r="C64" s="54">
        <f t="shared" si="50"/>
        <v>43</v>
      </c>
      <c r="D64" s="55">
        <f>D63*(1+'Barista FIRE '!$H$5)</f>
        <v>0</v>
      </c>
      <c r="E64" s="56">
        <f>D64*(1-'Barista FIRE '!$H$7)/12</f>
        <v>0</v>
      </c>
      <c r="F64" s="55">
        <f t="shared" si="7"/>
        <v>0</v>
      </c>
      <c r="G64" s="57"/>
      <c r="H64" s="55">
        <f t="shared" si="8"/>
        <v>0</v>
      </c>
      <c r="I64" s="59"/>
      <c r="J64" s="57"/>
      <c r="K64" s="55">
        <f t="shared" si="2"/>
        <v>0</v>
      </c>
      <c r="L64" s="106">
        <f t="shared" si="3"/>
        <v>0</v>
      </c>
      <c r="M64" s="55">
        <f>(M63+L64)*(1+'Barista FIRE '!$H$8)</f>
        <v>0</v>
      </c>
      <c r="N64" s="58">
        <f t="shared" si="9"/>
        <v>0</v>
      </c>
      <c r="O64" s="55">
        <f>M64*'Barista FIRE '!$H$9</f>
        <v>0</v>
      </c>
      <c r="P64" s="104">
        <f t="shared" si="4"/>
        <v>0</v>
      </c>
      <c r="Q64" s="72" t="str">
        <f t="shared" si="5"/>
        <v>Barista FIRE</v>
      </c>
      <c r="R64" s="1"/>
      <c r="S64" s="1"/>
      <c r="T64" s="1"/>
      <c r="U64" s="1"/>
      <c r="V64" s="1"/>
    </row>
    <row r="65" ht="15.75" customHeight="1">
      <c r="A65" s="53">
        <f t="shared" ref="A65:C65" si="51">A64+1</f>
        <v>44</v>
      </c>
      <c r="B65" s="65">
        <f t="shared" si="51"/>
        <v>44</v>
      </c>
      <c r="C65" s="65">
        <f t="shared" si="51"/>
        <v>44</v>
      </c>
      <c r="D65" s="104">
        <f>D64*(1+'Barista FIRE '!$H$5)</f>
        <v>0</v>
      </c>
      <c r="E65" s="105">
        <f>D65*(1-'Barista FIRE '!$H$7)/12</f>
        <v>0</v>
      </c>
      <c r="F65" s="104">
        <f t="shared" si="7"/>
        <v>0</v>
      </c>
      <c r="G65" s="57"/>
      <c r="H65" s="104">
        <f t="shared" si="8"/>
        <v>0</v>
      </c>
      <c r="I65" s="59"/>
      <c r="J65" s="57"/>
      <c r="K65" s="104">
        <f t="shared" si="2"/>
        <v>0</v>
      </c>
      <c r="L65" s="106">
        <f t="shared" si="3"/>
        <v>0</v>
      </c>
      <c r="M65" s="55">
        <f>(M64+L65)*(1+'Barista FIRE '!$H$8)</f>
        <v>0</v>
      </c>
      <c r="N65" s="58">
        <f t="shared" si="9"/>
        <v>0</v>
      </c>
      <c r="O65" s="104">
        <f>M65*'Barista FIRE '!$H$9</f>
        <v>0</v>
      </c>
      <c r="P65" s="104">
        <f t="shared" si="4"/>
        <v>0</v>
      </c>
      <c r="Q65" s="72" t="str">
        <f t="shared" si="5"/>
        <v>Barista FIRE</v>
      </c>
      <c r="R65" s="1"/>
      <c r="S65" s="1"/>
      <c r="T65" s="1"/>
      <c r="U65" s="1"/>
      <c r="V65" s="1"/>
    </row>
    <row r="66" ht="15.75" customHeight="1">
      <c r="A66" s="53">
        <f t="shared" ref="A66:C66" si="52">A65+1</f>
        <v>45</v>
      </c>
      <c r="B66" s="54">
        <f t="shared" si="52"/>
        <v>45</v>
      </c>
      <c r="C66" s="54">
        <f t="shared" si="52"/>
        <v>45</v>
      </c>
      <c r="D66" s="55">
        <f>D65*(1+'Barista FIRE '!$H$5)</f>
        <v>0</v>
      </c>
      <c r="E66" s="56">
        <f>D66*(1-'Barista FIRE '!$H$7)/12</f>
        <v>0</v>
      </c>
      <c r="F66" s="55">
        <f t="shared" si="7"/>
        <v>0</v>
      </c>
      <c r="G66" s="57"/>
      <c r="H66" s="55">
        <f t="shared" si="8"/>
        <v>0</v>
      </c>
      <c r="I66" s="59"/>
      <c r="J66" s="57"/>
      <c r="K66" s="55">
        <f t="shared" si="2"/>
        <v>0</v>
      </c>
      <c r="L66" s="106">
        <f t="shared" si="3"/>
        <v>0</v>
      </c>
      <c r="M66" s="55">
        <f>(M65+L66)*(1+'Barista FIRE '!$H$8)</f>
        <v>0</v>
      </c>
      <c r="N66" s="58">
        <f t="shared" si="9"/>
        <v>0</v>
      </c>
      <c r="O66" s="55">
        <f>M66*'Barista FIRE '!$H$9</f>
        <v>0</v>
      </c>
      <c r="P66" s="104">
        <f t="shared" si="4"/>
        <v>0</v>
      </c>
      <c r="Q66" s="72" t="str">
        <f t="shared" si="5"/>
        <v>Barista FIRE</v>
      </c>
      <c r="R66" s="1"/>
      <c r="S66" s="1"/>
      <c r="T66" s="1"/>
      <c r="U66" s="1"/>
      <c r="V66" s="1"/>
    </row>
    <row r="67" ht="15.75" customHeight="1">
      <c r="A67" s="107">
        <f t="shared" ref="A67:C67" si="53">A66+1</f>
        <v>46</v>
      </c>
      <c r="B67" s="80">
        <f t="shared" si="53"/>
        <v>46</v>
      </c>
      <c r="C67" s="80">
        <f t="shared" si="53"/>
        <v>46</v>
      </c>
      <c r="D67" s="108">
        <f>D66*(1+'Barista FIRE '!$H$5)</f>
        <v>0</v>
      </c>
      <c r="E67" s="109">
        <f>D67*(1-'Barista FIRE '!$H$7)/12</f>
        <v>0</v>
      </c>
      <c r="F67" s="108">
        <f t="shared" si="7"/>
        <v>0</v>
      </c>
      <c r="G67" s="110"/>
      <c r="H67" s="108">
        <f t="shared" si="8"/>
        <v>0</v>
      </c>
      <c r="I67" s="111"/>
      <c r="J67" s="110"/>
      <c r="K67" s="108">
        <f t="shared" si="2"/>
        <v>0</v>
      </c>
      <c r="L67" s="112">
        <f t="shared" si="3"/>
        <v>0</v>
      </c>
      <c r="M67" s="113">
        <f>(M66+L67)*(1+'Barista FIRE '!$H$8)</f>
        <v>0</v>
      </c>
      <c r="N67" s="114">
        <f t="shared" si="9"/>
        <v>0</v>
      </c>
      <c r="O67" s="108">
        <f>M67*'Barista FIRE '!$H$9</f>
        <v>0</v>
      </c>
      <c r="P67" s="108">
        <f t="shared" si="4"/>
        <v>0</v>
      </c>
      <c r="Q67" s="87" t="str">
        <f t="shared" si="5"/>
        <v>Barista FIRE</v>
      </c>
      <c r="R67" s="1"/>
      <c r="S67" s="1"/>
      <c r="T67" s="1"/>
      <c r="U67" s="1"/>
      <c r="V67" s="1"/>
    </row>
    <row r="68" ht="15.75" customHeight="1">
      <c r="A68" s="1"/>
      <c r="B68" s="54"/>
      <c r="C68" s="54"/>
      <c r="D68" s="1"/>
      <c r="E68" s="1"/>
      <c r="F68" s="1"/>
      <c r="G68" s="1"/>
      <c r="H68" s="1"/>
      <c r="I68" s="1"/>
      <c r="J68" s="1"/>
      <c r="K68" s="1"/>
      <c r="L68" s="1"/>
      <c r="M68" s="1"/>
      <c r="N68" s="62"/>
      <c r="O68" s="62"/>
      <c r="P68" s="1"/>
      <c r="Q68" s="1"/>
      <c r="R68" s="1"/>
      <c r="S68" s="1"/>
      <c r="T68" s="1"/>
      <c r="U68" s="1"/>
      <c r="V68" s="1"/>
    </row>
    <row r="69" ht="15.75" customHeight="1">
      <c r="A69" s="1"/>
      <c r="B69" s="54"/>
      <c r="C69" s="54"/>
      <c r="D69" s="1"/>
      <c r="E69" s="1"/>
      <c r="F69" s="1"/>
      <c r="G69" s="1"/>
      <c r="H69" s="1"/>
      <c r="I69" s="1"/>
      <c r="J69" s="1"/>
      <c r="K69" s="1"/>
      <c r="L69" s="1"/>
      <c r="M69" s="1"/>
      <c r="N69" s="62"/>
      <c r="O69" s="62"/>
      <c r="P69" s="1"/>
      <c r="Q69" s="1"/>
      <c r="R69" s="1"/>
      <c r="S69" s="1"/>
      <c r="T69" s="1"/>
      <c r="U69" s="1"/>
      <c r="V69" s="1"/>
    </row>
    <row r="70" ht="15.75" customHeight="1">
      <c r="A70" s="1"/>
      <c r="B70" s="54"/>
      <c r="C70" s="54"/>
      <c r="D70" s="1"/>
      <c r="E70" s="1"/>
      <c r="F70" s="1"/>
      <c r="G70" s="1"/>
      <c r="H70" s="1"/>
      <c r="I70" s="1"/>
      <c r="J70" s="1"/>
      <c r="K70" s="1"/>
      <c r="L70" s="1"/>
      <c r="M70" s="1"/>
      <c r="N70" s="62"/>
      <c r="O70" s="62"/>
      <c r="P70" s="1"/>
      <c r="Q70" s="1"/>
      <c r="R70" s="1"/>
      <c r="S70" s="1"/>
      <c r="T70" s="1"/>
      <c r="U70" s="1"/>
      <c r="V70" s="1"/>
    </row>
    <row r="71" ht="15.75" customHeight="1">
      <c r="A71" s="1"/>
      <c r="B71" s="54"/>
      <c r="C71" s="54"/>
      <c r="D71" s="1"/>
      <c r="E71" s="1"/>
      <c r="F71" s="1"/>
      <c r="G71" s="1"/>
      <c r="H71" s="1"/>
      <c r="I71" s="1"/>
      <c r="J71" s="1"/>
      <c r="K71" s="1"/>
      <c r="L71" s="1"/>
      <c r="M71" s="1"/>
      <c r="N71" s="62"/>
      <c r="O71" s="62"/>
      <c r="P71" s="1"/>
      <c r="Q71" s="1"/>
      <c r="R71" s="1"/>
      <c r="S71" s="1"/>
      <c r="T71" s="1"/>
      <c r="U71" s="1"/>
      <c r="V71" s="1"/>
    </row>
    <row r="72" ht="15.75" customHeight="1">
      <c r="A72" s="1"/>
      <c r="B72" s="54"/>
      <c r="C72" s="54"/>
      <c r="D72" s="1"/>
      <c r="E72" s="1"/>
      <c r="F72" s="1"/>
      <c r="G72" s="1"/>
      <c r="H72" s="1"/>
      <c r="I72" s="1"/>
      <c r="J72" s="1"/>
      <c r="K72" s="1"/>
      <c r="L72" s="1"/>
      <c r="M72" s="1"/>
      <c r="N72" s="62"/>
      <c r="O72" s="62"/>
      <c r="P72" s="1"/>
      <c r="Q72" s="1"/>
      <c r="R72" s="1"/>
      <c r="S72" s="1"/>
      <c r="T72" s="1"/>
      <c r="U72" s="1"/>
      <c r="V72" s="1"/>
    </row>
    <row r="73" ht="15.75" customHeight="1">
      <c r="A73" s="1"/>
      <c r="B73" s="54"/>
      <c r="C73" s="54"/>
      <c r="D73" s="1"/>
      <c r="E73" s="1"/>
      <c r="F73" s="1"/>
      <c r="G73" s="1"/>
      <c r="H73" s="1"/>
      <c r="I73" s="1"/>
      <c r="J73" s="1"/>
      <c r="K73" s="1"/>
      <c r="L73" s="1"/>
      <c r="M73" s="1"/>
      <c r="N73" s="62"/>
      <c r="O73" s="62"/>
      <c r="P73" s="1"/>
      <c r="Q73" s="1"/>
      <c r="R73" s="1"/>
      <c r="S73" s="1"/>
      <c r="T73" s="1"/>
      <c r="U73" s="1"/>
      <c r="V73" s="1"/>
    </row>
    <row r="74" ht="15.75" customHeight="1">
      <c r="A74" s="1"/>
      <c r="B74" s="54"/>
      <c r="C74" s="54"/>
      <c r="D74" s="1"/>
      <c r="E74" s="1"/>
      <c r="F74" s="1"/>
      <c r="G74" s="1"/>
      <c r="H74" s="1"/>
      <c r="I74" s="1"/>
      <c r="J74" s="1"/>
      <c r="K74" s="1"/>
      <c r="L74" s="1"/>
      <c r="M74" s="1"/>
      <c r="N74" s="62"/>
      <c r="O74" s="62"/>
      <c r="P74" s="1"/>
      <c r="Q74" s="1"/>
      <c r="R74" s="1"/>
      <c r="S74" s="1"/>
      <c r="T74" s="1"/>
      <c r="U74" s="1"/>
      <c r="V74" s="1"/>
    </row>
    <row r="75" ht="15.75" customHeight="1">
      <c r="A75" s="1"/>
      <c r="B75" s="54"/>
      <c r="C75" s="54"/>
      <c r="D75" s="1"/>
      <c r="E75" s="1"/>
      <c r="F75" s="1"/>
      <c r="G75" s="1"/>
      <c r="H75" s="1"/>
      <c r="I75" s="1"/>
      <c r="J75" s="1"/>
      <c r="K75" s="1"/>
      <c r="L75" s="1"/>
      <c r="M75" s="1"/>
      <c r="N75" s="62"/>
      <c r="O75" s="62"/>
      <c r="P75" s="1"/>
      <c r="Q75" s="1"/>
      <c r="R75" s="1"/>
      <c r="S75" s="1"/>
      <c r="T75" s="1"/>
      <c r="U75" s="1"/>
      <c r="V75" s="1"/>
    </row>
    <row r="76" ht="15.75" customHeight="1">
      <c r="A76" s="1"/>
      <c r="B76" s="54"/>
      <c r="C76" s="54"/>
      <c r="D76" s="1"/>
      <c r="E76" s="1"/>
      <c r="F76" s="1"/>
      <c r="G76" s="1"/>
      <c r="H76" s="1"/>
      <c r="I76" s="1"/>
      <c r="J76" s="1"/>
      <c r="K76" s="1"/>
      <c r="L76" s="1"/>
      <c r="M76" s="1"/>
      <c r="N76" s="62"/>
      <c r="O76" s="62"/>
      <c r="P76" s="1"/>
      <c r="Q76" s="1"/>
      <c r="R76" s="1"/>
      <c r="S76" s="1"/>
      <c r="T76" s="1"/>
      <c r="U76" s="1"/>
      <c r="V76" s="1"/>
    </row>
    <row r="77" ht="15.75" customHeight="1">
      <c r="A77" s="1"/>
      <c r="B77" s="54"/>
      <c r="C77" s="54"/>
      <c r="D77" s="1"/>
      <c r="E77" s="1"/>
      <c r="F77" s="1"/>
      <c r="G77" s="1"/>
      <c r="H77" s="1"/>
      <c r="I77" s="1"/>
      <c r="J77" s="1"/>
      <c r="K77" s="1"/>
      <c r="L77" s="1"/>
      <c r="M77" s="1"/>
      <c r="N77" s="62"/>
      <c r="O77" s="62"/>
      <c r="P77" s="1"/>
      <c r="Q77" s="1"/>
      <c r="R77" s="1"/>
      <c r="S77" s="1"/>
      <c r="T77" s="1"/>
      <c r="U77" s="1"/>
      <c r="V77" s="1"/>
    </row>
    <row r="78" ht="15.75" customHeight="1">
      <c r="A78" s="1"/>
      <c r="B78" s="54"/>
      <c r="C78" s="54"/>
      <c r="D78" s="1"/>
      <c r="E78" s="1"/>
      <c r="F78" s="1"/>
      <c r="G78" s="1"/>
      <c r="H78" s="1"/>
      <c r="I78" s="1"/>
      <c r="J78" s="1"/>
      <c r="K78" s="1"/>
      <c r="L78" s="1"/>
      <c r="M78" s="1"/>
      <c r="N78" s="62"/>
      <c r="O78" s="62"/>
      <c r="P78" s="1"/>
      <c r="Q78" s="1"/>
      <c r="R78" s="1"/>
      <c r="S78" s="1"/>
      <c r="T78" s="1"/>
      <c r="U78" s="1"/>
      <c r="V78" s="1"/>
    </row>
    <row r="79" ht="15.75" customHeight="1">
      <c r="A79" s="1"/>
      <c r="B79" s="54"/>
      <c r="C79" s="54"/>
      <c r="D79" s="1"/>
      <c r="E79" s="1"/>
      <c r="F79" s="1"/>
      <c r="G79" s="1"/>
      <c r="H79" s="1"/>
      <c r="I79" s="1"/>
      <c r="J79" s="1"/>
      <c r="K79" s="1"/>
      <c r="L79" s="1"/>
      <c r="M79" s="1"/>
      <c r="N79" s="62"/>
      <c r="O79" s="62"/>
      <c r="P79" s="1"/>
      <c r="Q79" s="1"/>
      <c r="R79" s="1"/>
      <c r="S79" s="1"/>
      <c r="T79" s="1"/>
      <c r="U79" s="1"/>
      <c r="V79" s="1"/>
    </row>
    <row r="80" ht="15.75" customHeight="1">
      <c r="A80" s="1"/>
      <c r="B80" s="54"/>
      <c r="C80" s="54"/>
      <c r="D80" s="1"/>
      <c r="E80" s="1"/>
      <c r="F80" s="1"/>
      <c r="G80" s="1"/>
      <c r="H80" s="1"/>
      <c r="I80" s="1"/>
      <c r="J80" s="1"/>
      <c r="K80" s="1"/>
      <c r="L80" s="1"/>
      <c r="M80" s="1"/>
      <c r="N80" s="62"/>
      <c r="O80" s="62"/>
      <c r="P80" s="1"/>
      <c r="Q80" s="1"/>
      <c r="R80" s="1"/>
      <c r="S80" s="1"/>
      <c r="T80" s="1"/>
      <c r="U80" s="1"/>
      <c r="V80" s="1"/>
    </row>
    <row r="81" ht="15.75" customHeight="1">
      <c r="A81" s="1"/>
      <c r="B81" s="54"/>
      <c r="C81" s="54"/>
      <c r="D81" s="1"/>
      <c r="E81" s="1"/>
      <c r="F81" s="1"/>
      <c r="G81" s="1"/>
      <c r="H81" s="1"/>
      <c r="I81" s="1"/>
      <c r="J81" s="1"/>
      <c r="K81" s="1"/>
      <c r="L81" s="1"/>
      <c r="M81" s="1"/>
      <c r="N81" s="62"/>
      <c r="O81" s="62"/>
      <c r="P81" s="1"/>
      <c r="Q81" s="1"/>
      <c r="R81" s="1"/>
      <c r="S81" s="1"/>
      <c r="T81" s="1"/>
      <c r="U81" s="1"/>
      <c r="V81" s="1"/>
    </row>
    <row r="82" ht="15.75" customHeight="1">
      <c r="A82" s="1"/>
      <c r="B82" s="54"/>
      <c r="C82" s="54"/>
      <c r="D82" s="1"/>
      <c r="E82" s="1"/>
      <c r="F82" s="1"/>
      <c r="G82" s="1"/>
      <c r="H82" s="1"/>
      <c r="I82" s="1"/>
      <c r="J82" s="1"/>
      <c r="K82" s="1"/>
      <c r="L82" s="1"/>
      <c r="M82" s="1"/>
      <c r="N82" s="62"/>
      <c r="O82" s="62"/>
      <c r="P82" s="1"/>
      <c r="Q82" s="1"/>
      <c r="R82" s="1"/>
      <c r="S82" s="1"/>
      <c r="T82" s="1"/>
      <c r="U82" s="1"/>
      <c r="V82" s="1"/>
    </row>
    <row r="83" ht="15.75" customHeight="1">
      <c r="A83" s="1"/>
      <c r="B83" s="54"/>
      <c r="C83" s="54"/>
      <c r="D83" s="1"/>
      <c r="E83" s="1"/>
      <c r="F83" s="1"/>
      <c r="G83" s="1"/>
      <c r="H83" s="1"/>
      <c r="I83" s="1"/>
      <c r="J83" s="1"/>
      <c r="K83" s="1"/>
      <c r="L83" s="1"/>
      <c r="M83" s="1"/>
      <c r="N83" s="62"/>
      <c r="O83" s="62"/>
      <c r="P83" s="1"/>
      <c r="Q83" s="1"/>
      <c r="R83" s="1"/>
      <c r="S83" s="1"/>
      <c r="T83" s="1"/>
      <c r="U83" s="1"/>
      <c r="V83" s="1"/>
    </row>
    <row r="84" ht="15.75" customHeight="1">
      <c r="A84" s="1"/>
      <c r="B84" s="54"/>
      <c r="C84" s="54"/>
      <c r="D84" s="1"/>
      <c r="E84" s="1"/>
      <c r="F84" s="1"/>
      <c r="G84" s="1"/>
      <c r="H84" s="1"/>
      <c r="I84" s="1"/>
      <c r="J84" s="1"/>
      <c r="K84" s="1"/>
      <c r="L84" s="1"/>
      <c r="M84" s="1"/>
      <c r="N84" s="62"/>
      <c r="O84" s="62"/>
      <c r="P84" s="1"/>
      <c r="Q84" s="1"/>
      <c r="R84" s="1"/>
      <c r="S84" s="1"/>
      <c r="T84" s="1"/>
      <c r="U84" s="1"/>
      <c r="V84" s="1"/>
    </row>
    <row r="85" ht="15.75" customHeight="1">
      <c r="A85" s="1"/>
      <c r="B85" s="54"/>
      <c r="C85" s="54"/>
      <c r="D85" s="1"/>
      <c r="E85" s="1"/>
      <c r="F85" s="1"/>
      <c r="G85" s="1"/>
      <c r="H85" s="1"/>
      <c r="I85" s="1"/>
      <c r="J85" s="1"/>
      <c r="K85" s="1"/>
      <c r="L85" s="1"/>
      <c r="M85" s="1"/>
      <c r="N85" s="62"/>
      <c r="O85" s="62"/>
      <c r="P85" s="1"/>
      <c r="Q85" s="1"/>
      <c r="R85" s="1"/>
      <c r="S85" s="1"/>
      <c r="T85" s="1"/>
      <c r="U85" s="1"/>
      <c r="V85" s="1"/>
    </row>
    <row r="86" ht="15.75" customHeight="1">
      <c r="A86" s="1"/>
      <c r="B86" s="54"/>
      <c r="C86" s="54"/>
      <c r="D86" s="1"/>
      <c r="E86" s="1"/>
      <c r="F86" s="1"/>
      <c r="G86" s="1"/>
      <c r="H86" s="1"/>
      <c r="I86" s="1"/>
      <c r="J86" s="1"/>
      <c r="K86" s="1"/>
      <c r="L86" s="1"/>
      <c r="M86" s="1"/>
      <c r="N86" s="62"/>
      <c r="O86" s="62"/>
      <c r="P86" s="1"/>
      <c r="Q86" s="1"/>
      <c r="R86" s="1"/>
      <c r="S86" s="1"/>
      <c r="T86" s="1"/>
      <c r="U86" s="1"/>
      <c r="V86" s="1"/>
    </row>
    <row r="87" ht="15.75" customHeight="1">
      <c r="A87" s="1"/>
      <c r="B87" s="54"/>
      <c r="C87" s="54"/>
      <c r="D87" s="1"/>
      <c r="E87" s="1"/>
      <c r="F87" s="1"/>
      <c r="G87" s="1"/>
      <c r="H87" s="1"/>
      <c r="I87" s="1"/>
      <c r="J87" s="1"/>
      <c r="K87" s="1"/>
      <c r="L87" s="1"/>
      <c r="M87" s="1"/>
      <c r="N87" s="62"/>
      <c r="O87" s="62"/>
      <c r="P87" s="1"/>
      <c r="Q87" s="1"/>
      <c r="R87" s="1"/>
      <c r="S87" s="1"/>
      <c r="T87" s="1"/>
      <c r="U87" s="1"/>
      <c r="V87" s="1"/>
    </row>
    <row r="88" ht="15.75" customHeight="1">
      <c r="A88" s="1"/>
      <c r="B88" s="54"/>
      <c r="C88" s="54"/>
      <c r="D88" s="1"/>
      <c r="E88" s="1"/>
      <c r="F88" s="1"/>
      <c r="G88" s="1"/>
      <c r="H88" s="1"/>
      <c r="I88" s="1"/>
      <c r="J88" s="1"/>
      <c r="K88" s="1"/>
      <c r="L88" s="1"/>
      <c r="M88" s="1"/>
      <c r="N88" s="62"/>
      <c r="O88" s="62"/>
      <c r="P88" s="1"/>
      <c r="Q88" s="1"/>
      <c r="R88" s="1"/>
      <c r="S88" s="1"/>
      <c r="T88" s="1"/>
      <c r="U88" s="1"/>
      <c r="V88" s="1"/>
    </row>
    <row r="89" ht="15.75" customHeight="1">
      <c r="A89" s="1"/>
      <c r="B89" s="54"/>
      <c r="C89" s="54"/>
      <c r="D89" s="1"/>
      <c r="E89" s="1"/>
      <c r="F89" s="1"/>
      <c r="G89" s="1"/>
      <c r="H89" s="1"/>
      <c r="I89" s="1"/>
      <c r="J89" s="1"/>
      <c r="K89" s="1"/>
      <c r="L89" s="1"/>
      <c r="M89" s="1"/>
      <c r="N89" s="62"/>
      <c r="O89" s="62"/>
      <c r="P89" s="1"/>
      <c r="Q89" s="1"/>
      <c r="R89" s="1"/>
      <c r="S89" s="1"/>
      <c r="T89" s="1"/>
      <c r="U89" s="1"/>
      <c r="V89" s="1"/>
    </row>
    <row r="90" ht="15.75" customHeight="1">
      <c r="A90" s="1"/>
      <c r="B90" s="54"/>
      <c r="C90" s="54"/>
      <c r="D90" s="1"/>
      <c r="E90" s="1"/>
      <c r="F90" s="1"/>
      <c r="G90" s="1"/>
      <c r="H90" s="1"/>
      <c r="I90" s="1"/>
      <c r="J90" s="1"/>
      <c r="K90" s="1"/>
      <c r="L90" s="1"/>
      <c r="M90" s="1"/>
      <c r="N90" s="62"/>
      <c r="O90" s="62"/>
      <c r="P90" s="1"/>
      <c r="Q90" s="1"/>
      <c r="R90" s="1"/>
      <c r="S90" s="1"/>
      <c r="T90" s="1"/>
      <c r="U90" s="1"/>
      <c r="V90" s="1"/>
    </row>
    <row r="91" ht="15.75" customHeight="1">
      <c r="A91" s="1"/>
      <c r="B91" s="54"/>
      <c r="C91" s="54"/>
      <c r="D91" s="1"/>
      <c r="E91" s="1"/>
      <c r="F91" s="1"/>
      <c r="G91" s="1"/>
      <c r="H91" s="1"/>
      <c r="I91" s="1"/>
      <c r="J91" s="1"/>
      <c r="K91" s="1"/>
      <c r="L91" s="1"/>
      <c r="M91" s="1"/>
      <c r="N91" s="62"/>
      <c r="O91" s="62"/>
      <c r="P91" s="1"/>
      <c r="Q91" s="1"/>
      <c r="R91" s="1"/>
      <c r="S91" s="1"/>
      <c r="T91" s="1"/>
      <c r="U91" s="1"/>
      <c r="V91" s="1"/>
    </row>
    <row r="92" ht="15.75" customHeight="1">
      <c r="A92" s="1"/>
      <c r="B92" s="54"/>
      <c r="C92" s="54"/>
      <c r="D92" s="1"/>
      <c r="E92" s="1"/>
      <c r="F92" s="1"/>
      <c r="G92" s="1"/>
      <c r="H92" s="1"/>
      <c r="I92" s="1"/>
      <c r="J92" s="1"/>
      <c r="K92" s="1"/>
      <c r="L92" s="1"/>
      <c r="M92" s="1"/>
      <c r="N92" s="62"/>
      <c r="O92" s="62"/>
      <c r="P92" s="1"/>
      <c r="Q92" s="1"/>
      <c r="R92" s="1"/>
      <c r="S92" s="1"/>
      <c r="T92" s="1"/>
      <c r="U92" s="1"/>
      <c r="V92" s="1"/>
    </row>
    <row r="93" ht="15.75" customHeight="1">
      <c r="A93" s="1"/>
      <c r="B93" s="54"/>
      <c r="C93" s="54"/>
      <c r="D93" s="1"/>
      <c r="E93" s="1"/>
      <c r="F93" s="1"/>
      <c r="G93" s="1"/>
      <c r="H93" s="1"/>
      <c r="I93" s="1"/>
      <c r="J93" s="1"/>
      <c r="K93" s="1"/>
      <c r="L93" s="1"/>
      <c r="M93" s="1"/>
      <c r="N93" s="62"/>
      <c r="O93" s="62"/>
      <c r="P93" s="1"/>
      <c r="Q93" s="1"/>
      <c r="R93" s="1"/>
      <c r="S93" s="1"/>
      <c r="T93" s="1"/>
      <c r="U93" s="1"/>
      <c r="V93" s="1"/>
    </row>
    <row r="94" ht="15.75" customHeight="1">
      <c r="A94" s="1"/>
      <c r="B94" s="54"/>
      <c r="C94" s="54"/>
      <c r="D94" s="1"/>
      <c r="E94" s="1"/>
      <c r="F94" s="1"/>
      <c r="G94" s="1"/>
      <c r="H94" s="1"/>
      <c r="I94" s="1"/>
      <c r="J94" s="1"/>
      <c r="K94" s="1"/>
      <c r="L94" s="1"/>
      <c r="M94" s="1"/>
      <c r="N94" s="62"/>
      <c r="O94" s="62"/>
      <c r="P94" s="1"/>
      <c r="Q94" s="1"/>
      <c r="R94" s="1"/>
      <c r="S94" s="1"/>
      <c r="T94" s="1"/>
      <c r="U94" s="1"/>
      <c r="V94" s="1"/>
    </row>
    <row r="95" ht="15.75" customHeight="1">
      <c r="A95" s="1"/>
      <c r="B95" s="54"/>
      <c r="C95" s="54"/>
      <c r="D95" s="1"/>
      <c r="E95" s="1"/>
      <c r="F95" s="1"/>
      <c r="G95" s="1"/>
      <c r="H95" s="1"/>
      <c r="I95" s="1"/>
      <c r="J95" s="1"/>
      <c r="K95" s="1"/>
      <c r="L95" s="1"/>
      <c r="M95" s="1"/>
      <c r="N95" s="62"/>
      <c r="O95" s="62"/>
      <c r="P95" s="1"/>
      <c r="Q95" s="1"/>
      <c r="R95" s="1"/>
      <c r="S95" s="1"/>
      <c r="T95" s="1"/>
      <c r="U95" s="1"/>
      <c r="V95" s="1"/>
    </row>
    <row r="96" ht="15.75" customHeight="1">
      <c r="A96" s="1"/>
      <c r="B96" s="54"/>
      <c r="C96" s="54"/>
      <c r="D96" s="1"/>
      <c r="E96" s="1"/>
      <c r="F96" s="1"/>
      <c r="G96" s="1"/>
      <c r="H96" s="1"/>
      <c r="I96" s="1"/>
      <c r="J96" s="1"/>
      <c r="K96" s="1"/>
      <c r="L96" s="1"/>
      <c r="M96" s="1"/>
      <c r="N96" s="62"/>
      <c r="O96" s="62"/>
      <c r="P96" s="1"/>
      <c r="Q96" s="1"/>
      <c r="R96" s="1"/>
      <c r="S96" s="1"/>
      <c r="T96" s="1"/>
      <c r="U96" s="1"/>
      <c r="V96" s="1"/>
    </row>
    <row r="97" ht="15.75" customHeight="1">
      <c r="A97" s="1"/>
      <c r="B97" s="54"/>
      <c r="C97" s="54"/>
      <c r="D97" s="1"/>
      <c r="E97" s="1"/>
      <c r="F97" s="1"/>
      <c r="G97" s="1"/>
      <c r="H97" s="1"/>
      <c r="I97" s="1"/>
      <c r="J97" s="1"/>
      <c r="K97" s="1"/>
      <c r="L97" s="1"/>
      <c r="M97" s="1"/>
      <c r="N97" s="62"/>
      <c r="O97" s="62"/>
      <c r="P97" s="1"/>
      <c r="Q97" s="1"/>
      <c r="R97" s="1"/>
      <c r="S97" s="1"/>
      <c r="T97" s="1"/>
      <c r="U97" s="1"/>
      <c r="V97" s="1"/>
    </row>
    <row r="98" ht="15.75" customHeight="1">
      <c r="A98" s="1"/>
      <c r="B98" s="54"/>
      <c r="C98" s="54"/>
      <c r="D98" s="1"/>
      <c r="E98" s="1"/>
      <c r="F98" s="1"/>
      <c r="G98" s="1"/>
      <c r="H98" s="1"/>
      <c r="I98" s="1"/>
      <c r="J98" s="1"/>
      <c r="K98" s="1"/>
      <c r="L98" s="1"/>
      <c r="M98" s="1"/>
      <c r="N98" s="62"/>
      <c r="O98" s="62"/>
      <c r="P98" s="1"/>
      <c r="Q98" s="1"/>
      <c r="R98" s="1"/>
      <c r="S98" s="1"/>
      <c r="T98" s="1"/>
      <c r="U98" s="1"/>
      <c r="V98" s="1"/>
    </row>
    <row r="99" ht="15.75" customHeight="1">
      <c r="A99" s="1"/>
      <c r="B99" s="54"/>
      <c r="C99" s="54"/>
      <c r="D99" s="1"/>
      <c r="E99" s="1"/>
      <c r="F99" s="1"/>
      <c r="G99" s="1"/>
      <c r="H99" s="1"/>
      <c r="I99" s="1"/>
      <c r="J99" s="1"/>
      <c r="K99" s="1"/>
      <c r="L99" s="1"/>
      <c r="M99" s="1"/>
      <c r="N99" s="62"/>
      <c r="O99" s="62"/>
      <c r="P99" s="1"/>
      <c r="Q99" s="1"/>
      <c r="R99" s="1"/>
      <c r="S99" s="1"/>
      <c r="T99" s="1"/>
      <c r="U99" s="1"/>
      <c r="V99" s="1"/>
    </row>
    <row r="100" ht="15.75" customHeight="1">
      <c r="A100" s="1"/>
      <c r="B100" s="54"/>
      <c r="C100" s="5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62"/>
      <c r="O100" s="62"/>
      <c r="P100" s="1"/>
      <c r="Q100" s="1"/>
      <c r="R100" s="1"/>
      <c r="S100" s="1"/>
      <c r="T100" s="1"/>
      <c r="U100" s="1"/>
      <c r="V100" s="1"/>
    </row>
    <row r="101" ht="15.75" customHeight="1">
      <c r="A101" s="1"/>
      <c r="B101" s="54"/>
      <c r="C101" s="5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62"/>
      <c r="O101" s="62"/>
      <c r="P101" s="1"/>
      <c r="Q101" s="1"/>
      <c r="R101" s="1"/>
      <c r="S101" s="1"/>
      <c r="T101" s="1"/>
      <c r="U101" s="1"/>
      <c r="V101" s="1"/>
    </row>
    <row r="102" ht="15.75" customHeight="1">
      <c r="A102" s="1"/>
      <c r="B102" s="54"/>
      <c r="C102" s="5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62"/>
      <c r="O102" s="62"/>
      <c r="P102" s="1"/>
      <c r="Q102" s="1"/>
      <c r="R102" s="1"/>
      <c r="S102" s="1"/>
      <c r="T102" s="1"/>
      <c r="U102" s="1"/>
      <c r="V102" s="1"/>
    </row>
    <row r="103" ht="15.75" customHeight="1">
      <c r="A103" s="1"/>
      <c r="B103" s="54"/>
      <c r="C103" s="5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62"/>
      <c r="O103" s="62"/>
      <c r="P103" s="1"/>
      <c r="Q103" s="1"/>
      <c r="R103" s="1"/>
      <c r="S103" s="1"/>
      <c r="T103" s="1"/>
      <c r="U103" s="1"/>
      <c r="V103" s="1"/>
    </row>
    <row r="104" ht="15.75" customHeight="1">
      <c r="A104" s="1"/>
      <c r="B104" s="54"/>
      <c r="C104" s="5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62"/>
      <c r="O104" s="62"/>
      <c r="P104" s="1"/>
      <c r="Q104" s="1"/>
      <c r="R104" s="1"/>
      <c r="S104" s="1"/>
      <c r="T104" s="1"/>
      <c r="U104" s="1"/>
      <c r="V104" s="1"/>
    </row>
    <row r="105" ht="15.75" customHeight="1">
      <c r="A105" s="1"/>
      <c r="B105" s="54"/>
      <c r="C105" s="5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62"/>
      <c r="O105" s="62"/>
      <c r="P105" s="1"/>
      <c r="Q105" s="1"/>
      <c r="R105" s="1"/>
      <c r="S105" s="1"/>
      <c r="T105" s="1"/>
      <c r="U105" s="1"/>
      <c r="V105" s="1"/>
    </row>
    <row r="106" ht="15.75" customHeight="1">
      <c r="A106" s="1"/>
      <c r="B106" s="54"/>
      <c r="C106" s="5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62"/>
      <c r="O106" s="62"/>
      <c r="P106" s="1"/>
      <c r="Q106" s="1"/>
      <c r="R106" s="1"/>
      <c r="S106" s="1"/>
      <c r="T106" s="1"/>
      <c r="U106" s="1"/>
      <c r="V106" s="1"/>
    </row>
    <row r="107" ht="15.75" customHeight="1">
      <c r="A107" s="1"/>
      <c r="B107" s="54"/>
      <c r="C107" s="5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62"/>
      <c r="O107" s="62"/>
      <c r="P107" s="1"/>
      <c r="Q107" s="1"/>
      <c r="R107" s="1"/>
      <c r="S107" s="1"/>
      <c r="T107" s="1"/>
      <c r="U107" s="1"/>
      <c r="V107" s="1"/>
    </row>
    <row r="108" ht="15.75" customHeight="1">
      <c r="A108" s="1"/>
      <c r="B108" s="54"/>
      <c r="C108" s="5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62"/>
      <c r="O108" s="62"/>
      <c r="P108" s="1"/>
      <c r="Q108" s="1"/>
      <c r="R108" s="1"/>
      <c r="S108" s="1"/>
      <c r="T108" s="1"/>
      <c r="U108" s="1"/>
      <c r="V108" s="1"/>
    </row>
    <row r="109" ht="15.75" customHeight="1">
      <c r="A109" s="1"/>
      <c r="B109" s="54"/>
      <c r="C109" s="5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62"/>
      <c r="O109" s="62"/>
      <c r="P109" s="1"/>
      <c r="Q109" s="1"/>
      <c r="R109" s="1"/>
      <c r="S109" s="1"/>
      <c r="T109" s="1"/>
      <c r="U109" s="1"/>
      <c r="V109" s="1"/>
    </row>
    <row r="110" ht="15.75" customHeight="1">
      <c r="A110" s="1"/>
      <c r="B110" s="54"/>
      <c r="C110" s="5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62"/>
      <c r="O110" s="62"/>
      <c r="P110" s="1"/>
      <c r="Q110" s="1"/>
      <c r="R110" s="1"/>
      <c r="S110" s="1"/>
      <c r="T110" s="1"/>
      <c r="U110" s="1"/>
      <c r="V110" s="1"/>
    </row>
    <row r="111" ht="15.75" customHeight="1">
      <c r="A111" s="1"/>
      <c r="B111" s="54"/>
      <c r="C111" s="5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62"/>
      <c r="O111" s="62"/>
      <c r="P111" s="1"/>
      <c r="Q111" s="1"/>
      <c r="R111" s="1"/>
      <c r="S111" s="1"/>
      <c r="T111" s="1"/>
      <c r="U111" s="1"/>
      <c r="V111" s="1"/>
    </row>
    <row r="112" ht="15.75" customHeight="1">
      <c r="A112" s="1"/>
      <c r="B112" s="54"/>
      <c r="C112" s="5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62"/>
      <c r="O112" s="62"/>
      <c r="P112" s="1"/>
      <c r="Q112" s="1"/>
      <c r="R112" s="1"/>
      <c r="S112" s="1"/>
      <c r="T112" s="1"/>
      <c r="U112" s="1"/>
      <c r="V112" s="1"/>
    </row>
    <row r="113" ht="15.75" customHeight="1">
      <c r="A113" s="1"/>
      <c r="B113" s="54"/>
      <c r="C113" s="5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62"/>
      <c r="O113" s="62"/>
      <c r="P113" s="1"/>
      <c r="Q113" s="1"/>
      <c r="R113" s="1"/>
      <c r="S113" s="1"/>
      <c r="T113" s="1"/>
      <c r="U113" s="1"/>
      <c r="V113" s="1"/>
    </row>
    <row r="114" ht="15.75" customHeight="1">
      <c r="A114" s="1"/>
      <c r="B114" s="54"/>
      <c r="C114" s="5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62"/>
      <c r="O114" s="62"/>
      <c r="P114" s="1"/>
      <c r="Q114" s="1"/>
      <c r="R114" s="1"/>
      <c r="S114" s="1"/>
      <c r="T114" s="1"/>
      <c r="U114" s="1"/>
      <c r="V114" s="1"/>
    </row>
    <row r="115" ht="15.75" customHeight="1">
      <c r="A115" s="1"/>
      <c r="B115" s="54"/>
      <c r="C115" s="5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62"/>
      <c r="O115" s="62"/>
      <c r="P115" s="1"/>
      <c r="Q115" s="1"/>
      <c r="R115" s="1"/>
      <c r="S115" s="1"/>
      <c r="T115" s="1"/>
      <c r="U115" s="1"/>
      <c r="V115" s="1"/>
    </row>
    <row r="116" ht="15.75" customHeight="1">
      <c r="A116" s="1"/>
      <c r="B116" s="54"/>
      <c r="C116" s="5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62"/>
      <c r="O116" s="62"/>
      <c r="P116" s="1"/>
      <c r="Q116" s="1"/>
      <c r="R116" s="1"/>
      <c r="S116" s="1"/>
      <c r="T116" s="1"/>
      <c r="U116" s="1"/>
      <c r="V116" s="1"/>
    </row>
    <row r="117" ht="15.75" customHeight="1">
      <c r="A117" s="1"/>
      <c r="B117" s="54"/>
      <c r="C117" s="5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62"/>
      <c r="O117" s="62"/>
      <c r="P117" s="1"/>
      <c r="Q117" s="1"/>
      <c r="R117" s="1"/>
      <c r="S117" s="1"/>
      <c r="T117" s="1"/>
      <c r="U117" s="1"/>
      <c r="V117" s="1"/>
    </row>
    <row r="118" ht="15.75" customHeight="1">
      <c r="A118" s="1"/>
      <c r="B118" s="54"/>
      <c r="C118" s="5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62"/>
      <c r="O118" s="62"/>
      <c r="P118" s="1"/>
      <c r="Q118" s="1"/>
      <c r="R118" s="1"/>
      <c r="S118" s="1"/>
      <c r="T118" s="1"/>
      <c r="U118" s="1"/>
      <c r="V118" s="1"/>
    </row>
    <row r="119" ht="15.75" customHeight="1">
      <c r="A119" s="1"/>
      <c r="B119" s="54"/>
      <c r="C119" s="5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62"/>
      <c r="O119" s="62"/>
      <c r="P119" s="1"/>
      <c r="Q119" s="1"/>
      <c r="R119" s="1"/>
      <c r="S119" s="1"/>
      <c r="T119" s="1"/>
      <c r="U119" s="1"/>
      <c r="V119" s="1"/>
    </row>
    <row r="120" ht="15.75" customHeight="1">
      <c r="A120" s="1"/>
      <c r="B120" s="54"/>
      <c r="C120" s="5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62"/>
      <c r="O120" s="62"/>
      <c r="P120" s="1"/>
      <c r="Q120" s="1"/>
      <c r="R120" s="1"/>
      <c r="S120" s="1"/>
      <c r="T120" s="1"/>
      <c r="U120" s="1"/>
      <c r="V120" s="1"/>
    </row>
    <row r="121" ht="15.75" customHeight="1">
      <c r="A121" s="1"/>
      <c r="B121" s="54"/>
      <c r="C121" s="5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62"/>
      <c r="O121" s="62"/>
      <c r="P121" s="1"/>
      <c r="Q121" s="1"/>
      <c r="R121" s="1"/>
      <c r="S121" s="1"/>
      <c r="T121" s="1"/>
      <c r="U121" s="1"/>
      <c r="V121" s="1"/>
    </row>
    <row r="122" ht="15.75" customHeight="1">
      <c r="A122" s="1"/>
      <c r="B122" s="54"/>
      <c r="C122" s="5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62"/>
      <c r="O122" s="62"/>
      <c r="P122" s="1"/>
      <c r="Q122" s="1"/>
      <c r="R122" s="1"/>
      <c r="S122" s="1"/>
      <c r="T122" s="1"/>
      <c r="U122" s="1"/>
      <c r="V122" s="1"/>
    </row>
    <row r="123" ht="15.75" customHeight="1">
      <c r="A123" s="1"/>
      <c r="B123" s="54"/>
      <c r="C123" s="5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62"/>
      <c r="O123" s="62"/>
      <c r="P123" s="1"/>
      <c r="Q123" s="1"/>
      <c r="R123" s="1"/>
      <c r="S123" s="1"/>
      <c r="T123" s="1"/>
      <c r="U123" s="1"/>
      <c r="V123" s="1"/>
    </row>
    <row r="124" ht="15.75" customHeight="1">
      <c r="A124" s="1"/>
      <c r="B124" s="54"/>
      <c r="C124" s="5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62"/>
      <c r="O124" s="62"/>
      <c r="P124" s="1"/>
      <c r="Q124" s="1"/>
      <c r="R124" s="1"/>
      <c r="S124" s="1"/>
      <c r="T124" s="1"/>
      <c r="U124" s="1"/>
      <c r="V124" s="1"/>
    </row>
    <row r="125" ht="15.75" customHeight="1">
      <c r="A125" s="1"/>
      <c r="B125" s="54"/>
      <c r="C125" s="5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62"/>
      <c r="O125" s="62"/>
      <c r="P125" s="1"/>
      <c r="Q125" s="1"/>
      <c r="R125" s="1"/>
      <c r="S125" s="1"/>
      <c r="T125" s="1"/>
      <c r="U125" s="1"/>
      <c r="V125" s="1"/>
    </row>
    <row r="126" ht="15.75" customHeight="1">
      <c r="A126" s="1"/>
      <c r="B126" s="54"/>
      <c r="C126" s="5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62"/>
      <c r="O126" s="62"/>
      <c r="P126" s="1"/>
      <c r="Q126" s="1"/>
      <c r="R126" s="1"/>
      <c r="S126" s="1"/>
      <c r="T126" s="1"/>
      <c r="U126" s="1"/>
      <c r="V126" s="1"/>
    </row>
    <row r="127" ht="15.75" customHeight="1">
      <c r="A127" s="1"/>
      <c r="B127" s="54"/>
      <c r="C127" s="5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62"/>
      <c r="O127" s="62"/>
      <c r="P127" s="1"/>
      <c r="Q127" s="1"/>
      <c r="R127" s="1"/>
      <c r="S127" s="1"/>
      <c r="T127" s="1"/>
      <c r="U127" s="1"/>
      <c r="V127" s="1"/>
    </row>
    <row r="128" ht="15.75" customHeight="1">
      <c r="A128" s="1"/>
      <c r="B128" s="54"/>
      <c r="C128" s="5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62"/>
      <c r="O128" s="62"/>
      <c r="P128" s="1"/>
      <c r="Q128" s="1"/>
      <c r="R128" s="1"/>
      <c r="S128" s="1"/>
      <c r="T128" s="1"/>
      <c r="U128" s="1"/>
      <c r="V128" s="1"/>
    </row>
    <row r="129" ht="15.75" customHeight="1">
      <c r="A129" s="1"/>
      <c r="B129" s="54"/>
      <c r="C129" s="5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62"/>
      <c r="O129" s="62"/>
      <c r="P129" s="1"/>
      <c r="Q129" s="1"/>
      <c r="R129" s="1"/>
      <c r="S129" s="1"/>
      <c r="T129" s="1"/>
      <c r="U129" s="1"/>
      <c r="V129" s="1"/>
    </row>
    <row r="130" ht="15.75" customHeight="1">
      <c r="A130" s="1"/>
      <c r="B130" s="54"/>
      <c r="C130" s="5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62"/>
      <c r="O130" s="62"/>
      <c r="P130" s="1"/>
      <c r="Q130" s="1"/>
      <c r="R130" s="1"/>
      <c r="S130" s="1"/>
      <c r="T130" s="1"/>
      <c r="U130" s="1"/>
      <c r="V130" s="1"/>
    </row>
    <row r="131" ht="15.75" customHeight="1">
      <c r="A131" s="1"/>
      <c r="B131" s="54"/>
      <c r="C131" s="5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62"/>
      <c r="O131" s="62"/>
      <c r="P131" s="1"/>
      <c r="Q131" s="1"/>
      <c r="R131" s="1"/>
      <c r="S131" s="1"/>
      <c r="T131" s="1"/>
      <c r="U131" s="1"/>
      <c r="V131" s="1"/>
    </row>
    <row r="132" ht="15.75" customHeight="1">
      <c r="A132" s="1"/>
      <c r="B132" s="54"/>
      <c r="C132" s="5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62"/>
      <c r="O132" s="62"/>
      <c r="P132" s="1"/>
      <c r="Q132" s="1"/>
      <c r="R132" s="1"/>
      <c r="S132" s="1"/>
      <c r="T132" s="1"/>
      <c r="U132" s="1"/>
      <c r="V132" s="1"/>
    </row>
    <row r="133" ht="15.75" customHeight="1">
      <c r="A133" s="1"/>
      <c r="B133" s="54"/>
      <c r="C133" s="5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62"/>
      <c r="O133" s="62"/>
      <c r="P133" s="1"/>
      <c r="Q133" s="1"/>
      <c r="R133" s="1"/>
      <c r="S133" s="1"/>
      <c r="T133" s="1"/>
      <c r="U133" s="1"/>
      <c r="V133" s="1"/>
    </row>
    <row r="134" ht="15.75" customHeight="1">
      <c r="A134" s="1"/>
      <c r="B134" s="54"/>
      <c r="C134" s="5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62"/>
      <c r="O134" s="62"/>
      <c r="P134" s="1"/>
      <c r="Q134" s="1"/>
      <c r="R134" s="1"/>
      <c r="S134" s="1"/>
      <c r="T134" s="1"/>
      <c r="U134" s="1"/>
      <c r="V134" s="1"/>
    </row>
    <row r="135" ht="15.75" customHeight="1">
      <c r="A135" s="1"/>
      <c r="B135" s="54"/>
      <c r="C135" s="5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62"/>
      <c r="O135" s="62"/>
      <c r="P135" s="1"/>
      <c r="Q135" s="1"/>
      <c r="R135" s="1"/>
      <c r="S135" s="1"/>
      <c r="T135" s="1"/>
      <c r="U135" s="1"/>
      <c r="V135" s="1"/>
    </row>
    <row r="136" ht="15.75" customHeight="1">
      <c r="A136" s="1"/>
      <c r="B136" s="54"/>
      <c r="C136" s="5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62"/>
      <c r="O136" s="62"/>
      <c r="P136" s="1"/>
      <c r="Q136" s="1"/>
      <c r="R136" s="1"/>
      <c r="S136" s="1"/>
      <c r="T136" s="1"/>
      <c r="U136" s="1"/>
      <c r="V136" s="1"/>
    </row>
    <row r="137" ht="15.75" customHeight="1">
      <c r="A137" s="43">
        <v>1.0</v>
      </c>
      <c r="B137" s="54"/>
      <c r="C137" s="5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62"/>
      <c r="O137" s="62"/>
      <c r="P137" s="1"/>
      <c r="Q137" s="1"/>
      <c r="R137" s="1"/>
      <c r="S137" s="1"/>
      <c r="T137" s="1"/>
      <c r="U137" s="1"/>
      <c r="V137" s="1"/>
    </row>
    <row r="138" ht="15.75" customHeight="1">
      <c r="A138" s="1"/>
      <c r="B138" s="54"/>
      <c r="C138" s="5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62"/>
      <c r="O138" s="62"/>
      <c r="P138" s="1"/>
      <c r="Q138" s="1"/>
      <c r="R138" s="1"/>
      <c r="S138" s="1"/>
      <c r="T138" s="1"/>
      <c r="U138" s="1"/>
      <c r="V138" s="1"/>
    </row>
    <row r="139" ht="15.75" customHeight="1">
      <c r="A139" s="1"/>
      <c r="B139" s="54"/>
      <c r="C139" s="5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62"/>
      <c r="O139" s="62"/>
      <c r="P139" s="1"/>
      <c r="Q139" s="1"/>
      <c r="R139" s="1"/>
      <c r="S139" s="1"/>
      <c r="T139" s="1"/>
      <c r="U139" s="1"/>
      <c r="V139" s="1"/>
    </row>
    <row r="140" ht="15.75" customHeight="1">
      <c r="A140" s="1"/>
      <c r="B140" s="54"/>
      <c r="C140" s="5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62"/>
      <c r="O140" s="62"/>
      <c r="P140" s="1"/>
      <c r="Q140" s="1"/>
      <c r="R140" s="1"/>
      <c r="S140" s="1"/>
      <c r="T140" s="1"/>
      <c r="U140" s="1"/>
      <c r="V140" s="1"/>
    </row>
    <row r="141" ht="15.75" customHeight="1">
      <c r="A141" s="1"/>
      <c r="B141" s="54"/>
      <c r="C141" s="5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62"/>
      <c r="O141" s="62"/>
      <c r="P141" s="1"/>
      <c r="Q141" s="1"/>
      <c r="R141" s="1"/>
      <c r="S141" s="1"/>
      <c r="T141" s="1"/>
      <c r="U141" s="1"/>
      <c r="V141" s="1"/>
    </row>
    <row r="142" ht="15.75" customHeight="1">
      <c r="A142" s="1"/>
      <c r="B142" s="54"/>
      <c r="C142" s="5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62"/>
      <c r="O142" s="62"/>
      <c r="P142" s="1"/>
      <c r="Q142" s="1"/>
      <c r="R142" s="1"/>
      <c r="S142" s="1"/>
      <c r="T142" s="1"/>
      <c r="U142" s="1"/>
      <c r="V142" s="1"/>
    </row>
    <row r="143" ht="15.75" customHeight="1">
      <c r="A143" s="1"/>
      <c r="B143" s="54"/>
      <c r="C143" s="5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62"/>
      <c r="O143" s="62"/>
      <c r="P143" s="1"/>
      <c r="Q143" s="1"/>
      <c r="R143" s="1"/>
      <c r="S143" s="1"/>
      <c r="T143" s="1"/>
      <c r="U143" s="1"/>
      <c r="V143" s="1"/>
    </row>
    <row r="144" ht="15.75" customHeight="1">
      <c r="A144" s="1"/>
      <c r="B144" s="54"/>
      <c r="C144" s="5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62"/>
      <c r="O144" s="62"/>
      <c r="P144" s="1"/>
      <c r="Q144" s="1"/>
      <c r="R144" s="1"/>
      <c r="S144" s="1"/>
      <c r="T144" s="1"/>
      <c r="U144" s="1"/>
      <c r="V144" s="1"/>
    </row>
    <row r="145" ht="15.75" customHeight="1">
      <c r="A145" s="1"/>
      <c r="B145" s="54"/>
      <c r="C145" s="5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62"/>
      <c r="O145" s="62"/>
      <c r="P145" s="1"/>
      <c r="Q145" s="1"/>
      <c r="R145" s="1"/>
      <c r="S145" s="1"/>
      <c r="T145" s="1"/>
      <c r="U145" s="1"/>
      <c r="V145" s="1"/>
    </row>
    <row r="146" ht="15.75" customHeight="1">
      <c r="A146" s="1"/>
      <c r="B146" s="54"/>
      <c r="C146" s="5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62"/>
      <c r="O146" s="62"/>
      <c r="P146" s="1"/>
      <c r="Q146" s="1"/>
      <c r="R146" s="1"/>
      <c r="S146" s="1"/>
      <c r="T146" s="1"/>
      <c r="U146" s="1"/>
      <c r="V146" s="1"/>
    </row>
    <row r="147" ht="15.75" customHeight="1">
      <c r="A147" s="1"/>
      <c r="B147" s="54"/>
      <c r="C147" s="5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62"/>
      <c r="O147" s="62"/>
      <c r="P147" s="1"/>
      <c r="Q147" s="1"/>
      <c r="R147" s="1"/>
      <c r="S147" s="1"/>
      <c r="T147" s="1"/>
      <c r="U147" s="1"/>
      <c r="V147" s="1"/>
    </row>
    <row r="148" ht="15.75" customHeight="1">
      <c r="A148" s="1"/>
      <c r="B148" s="54"/>
      <c r="C148" s="5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62"/>
      <c r="O148" s="62"/>
      <c r="P148" s="1"/>
      <c r="Q148" s="1"/>
      <c r="R148" s="1"/>
      <c r="S148" s="1"/>
      <c r="T148" s="1"/>
      <c r="U148" s="1"/>
      <c r="V148" s="1"/>
    </row>
    <row r="149" ht="15.75" customHeight="1">
      <c r="A149" s="1"/>
      <c r="B149" s="54"/>
      <c r="C149" s="5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62"/>
      <c r="O149" s="62"/>
      <c r="P149" s="1"/>
      <c r="Q149" s="1"/>
      <c r="R149" s="1"/>
      <c r="S149" s="1"/>
      <c r="T149" s="1"/>
      <c r="U149" s="1"/>
      <c r="V149" s="1"/>
    </row>
    <row r="150" ht="15.75" customHeight="1">
      <c r="A150" s="1"/>
      <c r="B150" s="54"/>
      <c r="C150" s="5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62"/>
      <c r="O150" s="62"/>
      <c r="P150" s="1"/>
      <c r="Q150" s="1"/>
      <c r="R150" s="1"/>
      <c r="S150" s="1"/>
      <c r="T150" s="1"/>
      <c r="U150" s="1"/>
      <c r="V150" s="1"/>
    </row>
    <row r="151" ht="15.75" customHeight="1">
      <c r="A151" s="1"/>
      <c r="B151" s="54"/>
      <c r="C151" s="5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62"/>
      <c r="O151" s="62"/>
      <c r="P151" s="1"/>
      <c r="Q151" s="1"/>
      <c r="R151" s="1"/>
      <c r="S151" s="1"/>
      <c r="T151" s="1"/>
      <c r="U151" s="1"/>
      <c r="V151" s="1"/>
    </row>
    <row r="152" ht="15.75" customHeight="1">
      <c r="A152" s="1"/>
      <c r="B152" s="54"/>
      <c r="C152" s="5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62"/>
      <c r="O152" s="62"/>
      <c r="P152" s="1"/>
      <c r="Q152" s="1"/>
      <c r="R152" s="1"/>
      <c r="S152" s="1"/>
      <c r="T152" s="1"/>
      <c r="U152" s="1"/>
      <c r="V152" s="1"/>
    </row>
    <row r="153" ht="15.75" customHeight="1">
      <c r="A153" s="1"/>
      <c r="B153" s="54"/>
      <c r="C153" s="5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62"/>
      <c r="O153" s="62"/>
      <c r="P153" s="1"/>
      <c r="Q153" s="1"/>
      <c r="R153" s="1"/>
      <c r="S153" s="1"/>
      <c r="T153" s="1"/>
      <c r="U153" s="1"/>
      <c r="V153" s="1"/>
    </row>
    <row r="154" ht="15.75" customHeight="1">
      <c r="A154" s="1"/>
      <c r="B154" s="54"/>
      <c r="C154" s="5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62"/>
      <c r="O154" s="62"/>
      <c r="P154" s="1"/>
      <c r="Q154" s="1"/>
      <c r="R154" s="1"/>
      <c r="S154" s="1"/>
      <c r="T154" s="1"/>
      <c r="U154" s="1"/>
      <c r="V154" s="1"/>
    </row>
    <row r="155" ht="15.75" customHeight="1">
      <c r="A155" s="1"/>
      <c r="B155" s="54"/>
      <c r="C155" s="5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62"/>
      <c r="O155" s="62"/>
      <c r="P155" s="1"/>
      <c r="Q155" s="1"/>
      <c r="R155" s="1"/>
      <c r="S155" s="1"/>
      <c r="T155" s="1"/>
      <c r="U155" s="1"/>
      <c r="V155" s="1"/>
    </row>
    <row r="156" ht="15.75" customHeight="1">
      <c r="A156" s="1"/>
      <c r="B156" s="54"/>
      <c r="C156" s="5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62"/>
      <c r="O156" s="62"/>
      <c r="P156" s="1"/>
      <c r="Q156" s="1"/>
      <c r="R156" s="1"/>
      <c r="S156" s="1"/>
      <c r="T156" s="1"/>
      <c r="U156" s="1"/>
      <c r="V156" s="1"/>
    </row>
    <row r="157" ht="15.75" customHeight="1">
      <c r="A157" s="1"/>
      <c r="B157" s="54"/>
      <c r="C157" s="5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62"/>
      <c r="O157" s="62"/>
      <c r="P157" s="1"/>
      <c r="Q157" s="1"/>
      <c r="R157" s="1"/>
      <c r="S157" s="1"/>
      <c r="T157" s="1"/>
      <c r="U157" s="1"/>
      <c r="V157" s="1"/>
    </row>
    <row r="158" ht="15.75" customHeight="1">
      <c r="A158" s="1"/>
      <c r="B158" s="54"/>
      <c r="C158" s="5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62"/>
      <c r="O158" s="62"/>
      <c r="P158" s="1"/>
      <c r="Q158" s="1"/>
      <c r="R158" s="1"/>
      <c r="S158" s="1"/>
      <c r="T158" s="1"/>
      <c r="U158" s="1"/>
      <c r="V158" s="1"/>
    </row>
    <row r="159" ht="15.75" customHeight="1">
      <c r="A159" s="1"/>
      <c r="B159" s="54"/>
      <c r="C159" s="5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62"/>
      <c r="O159" s="62"/>
      <c r="P159" s="1"/>
      <c r="Q159" s="1"/>
      <c r="R159" s="1"/>
      <c r="S159" s="1"/>
      <c r="T159" s="1"/>
      <c r="U159" s="1"/>
      <c r="V159" s="1"/>
    </row>
    <row r="160" ht="15.75" customHeight="1">
      <c r="A160" s="1"/>
      <c r="B160" s="54"/>
      <c r="C160" s="5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62"/>
      <c r="O160" s="62"/>
      <c r="P160" s="1"/>
      <c r="Q160" s="1"/>
      <c r="R160" s="1"/>
      <c r="S160" s="1"/>
      <c r="T160" s="1"/>
      <c r="U160" s="1"/>
      <c r="V160" s="1"/>
    </row>
    <row r="161" ht="15.75" customHeight="1">
      <c r="A161" s="1"/>
      <c r="B161" s="54"/>
      <c r="C161" s="5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62"/>
      <c r="O161" s="62"/>
      <c r="P161" s="1"/>
      <c r="Q161" s="1"/>
      <c r="R161" s="1"/>
      <c r="S161" s="1"/>
      <c r="T161" s="1"/>
      <c r="U161" s="1"/>
      <c r="V161" s="1"/>
    </row>
    <row r="162" ht="15.75" customHeight="1">
      <c r="A162" s="1"/>
      <c r="B162" s="54"/>
      <c r="C162" s="5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62"/>
      <c r="O162" s="62"/>
      <c r="P162" s="1"/>
      <c r="Q162" s="1"/>
      <c r="R162" s="1"/>
      <c r="S162" s="1"/>
      <c r="T162" s="1"/>
      <c r="U162" s="1"/>
      <c r="V162" s="1"/>
    </row>
    <row r="163" ht="15.75" customHeight="1">
      <c r="A163" s="1"/>
      <c r="B163" s="54"/>
      <c r="C163" s="5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62"/>
      <c r="O163" s="62"/>
      <c r="P163" s="1"/>
      <c r="Q163" s="1"/>
      <c r="R163" s="1"/>
      <c r="S163" s="1"/>
      <c r="T163" s="1"/>
      <c r="U163" s="1"/>
      <c r="V163" s="1"/>
    </row>
    <row r="164" ht="15.75" customHeight="1">
      <c r="A164" s="1"/>
      <c r="B164" s="54"/>
      <c r="C164" s="5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62"/>
      <c r="O164" s="62"/>
      <c r="P164" s="1"/>
      <c r="Q164" s="1"/>
      <c r="R164" s="1"/>
      <c r="S164" s="1"/>
      <c r="T164" s="1"/>
      <c r="U164" s="1"/>
      <c r="V164" s="1"/>
    </row>
    <row r="165" ht="15.75" customHeight="1">
      <c r="A165" s="1"/>
      <c r="B165" s="54"/>
      <c r="C165" s="5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62"/>
      <c r="O165" s="62"/>
      <c r="P165" s="1"/>
      <c r="Q165" s="1"/>
      <c r="R165" s="1"/>
      <c r="S165" s="1"/>
      <c r="T165" s="1"/>
      <c r="U165" s="1"/>
      <c r="V165" s="1"/>
    </row>
    <row r="166" ht="15.75" customHeight="1">
      <c r="A166" s="1"/>
      <c r="B166" s="54"/>
      <c r="C166" s="5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62"/>
      <c r="O166" s="62"/>
      <c r="P166" s="1"/>
      <c r="Q166" s="1"/>
      <c r="R166" s="1"/>
      <c r="S166" s="1"/>
      <c r="T166" s="1"/>
      <c r="U166" s="1"/>
      <c r="V166" s="1"/>
    </row>
    <row r="167" ht="15.75" customHeight="1">
      <c r="A167" s="1"/>
      <c r="B167" s="54"/>
      <c r="C167" s="5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62"/>
      <c r="O167" s="62"/>
      <c r="P167" s="1"/>
      <c r="Q167" s="1"/>
      <c r="R167" s="1"/>
      <c r="S167" s="1"/>
      <c r="T167" s="1"/>
      <c r="U167" s="1"/>
      <c r="V167" s="1"/>
    </row>
    <row r="168" ht="15.75" customHeight="1">
      <c r="A168" s="1"/>
      <c r="B168" s="54"/>
      <c r="C168" s="5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62"/>
      <c r="O168" s="62"/>
      <c r="P168" s="1"/>
      <c r="Q168" s="1"/>
      <c r="R168" s="1"/>
      <c r="S168" s="1"/>
      <c r="T168" s="1"/>
      <c r="U168" s="1"/>
      <c r="V168" s="1"/>
    </row>
    <row r="169" ht="15.75" customHeight="1">
      <c r="A169" s="1"/>
      <c r="B169" s="54"/>
      <c r="C169" s="5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62"/>
      <c r="O169" s="62"/>
      <c r="P169" s="1"/>
      <c r="Q169" s="1"/>
      <c r="R169" s="1"/>
      <c r="S169" s="1"/>
      <c r="T169" s="1"/>
      <c r="U169" s="1"/>
      <c r="V169" s="1"/>
    </row>
    <row r="170" ht="15.75" customHeight="1">
      <c r="A170" s="1"/>
      <c r="B170" s="54"/>
      <c r="C170" s="5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62"/>
      <c r="O170" s="62"/>
      <c r="P170" s="1"/>
      <c r="Q170" s="1"/>
      <c r="R170" s="1"/>
      <c r="S170" s="1"/>
      <c r="T170" s="1"/>
      <c r="U170" s="1"/>
      <c r="V170" s="1"/>
    </row>
    <row r="171" ht="15.75" customHeight="1">
      <c r="A171" s="1"/>
      <c r="B171" s="54"/>
      <c r="C171" s="5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62"/>
      <c r="O171" s="62"/>
      <c r="P171" s="1"/>
      <c r="Q171" s="1"/>
      <c r="R171" s="1"/>
      <c r="S171" s="1"/>
      <c r="T171" s="1"/>
      <c r="U171" s="1"/>
      <c r="V171" s="1"/>
    </row>
    <row r="172" ht="15.75" customHeight="1">
      <c r="A172" s="1"/>
      <c r="B172" s="54"/>
      <c r="C172" s="5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62"/>
      <c r="O172" s="62"/>
      <c r="P172" s="1"/>
      <c r="Q172" s="1"/>
      <c r="R172" s="1"/>
      <c r="S172" s="1"/>
      <c r="T172" s="1"/>
      <c r="U172" s="1"/>
      <c r="V172" s="1"/>
    </row>
    <row r="173" ht="15.75" customHeight="1">
      <c r="A173" s="1"/>
      <c r="B173" s="54"/>
      <c r="C173" s="5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62"/>
      <c r="O173" s="62"/>
      <c r="P173" s="1"/>
      <c r="Q173" s="1"/>
      <c r="R173" s="1"/>
      <c r="S173" s="1"/>
      <c r="T173" s="1"/>
      <c r="U173" s="1"/>
      <c r="V173" s="1"/>
    </row>
    <row r="174" ht="15.75" customHeight="1">
      <c r="A174" s="1"/>
      <c r="B174" s="54"/>
      <c r="C174" s="5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62"/>
      <c r="O174" s="62"/>
      <c r="P174" s="1"/>
      <c r="Q174" s="1"/>
      <c r="R174" s="1"/>
      <c r="S174" s="1"/>
      <c r="T174" s="1"/>
      <c r="U174" s="1"/>
      <c r="V174" s="1"/>
    </row>
    <row r="175" ht="15.75" customHeight="1">
      <c r="A175" s="1"/>
      <c r="B175" s="54"/>
      <c r="C175" s="5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62"/>
      <c r="O175" s="62"/>
      <c r="P175" s="1"/>
      <c r="Q175" s="1"/>
      <c r="R175" s="1"/>
      <c r="S175" s="1"/>
      <c r="T175" s="1"/>
      <c r="U175" s="1"/>
      <c r="V175" s="1"/>
    </row>
    <row r="176" ht="15.75" customHeight="1">
      <c r="A176" s="1"/>
      <c r="B176" s="54"/>
      <c r="C176" s="5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62"/>
      <c r="O176" s="62"/>
      <c r="P176" s="1"/>
      <c r="Q176" s="1"/>
      <c r="R176" s="1"/>
      <c r="S176" s="1"/>
      <c r="T176" s="1"/>
      <c r="U176" s="1"/>
      <c r="V176" s="1"/>
    </row>
    <row r="177" ht="15.75" customHeight="1">
      <c r="A177" s="1"/>
      <c r="B177" s="54"/>
      <c r="C177" s="5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62"/>
      <c r="O177" s="62"/>
      <c r="P177" s="1"/>
      <c r="Q177" s="1"/>
      <c r="R177" s="1"/>
      <c r="S177" s="1"/>
      <c r="T177" s="1"/>
      <c r="U177" s="1"/>
      <c r="V177" s="1"/>
    </row>
    <row r="178" ht="15.75" customHeight="1">
      <c r="A178" s="1"/>
      <c r="B178" s="54"/>
      <c r="C178" s="5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62"/>
      <c r="O178" s="62"/>
      <c r="P178" s="1"/>
      <c r="Q178" s="1"/>
      <c r="R178" s="1"/>
      <c r="S178" s="1"/>
      <c r="T178" s="1"/>
      <c r="U178" s="1"/>
      <c r="V178" s="1"/>
    </row>
    <row r="179" ht="15.75" customHeight="1">
      <c r="A179" s="1"/>
      <c r="B179" s="54"/>
      <c r="C179" s="5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62"/>
      <c r="O179" s="62"/>
      <c r="P179" s="1"/>
      <c r="Q179" s="1"/>
      <c r="R179" s="1"/>
      <c r="S179" s="1"/>
      <c r="T179" s="1"/>
      <c r="U179" s="1"/>
      <c r="V179" s="1"/>
    </row>
    <row r="180" ht="15.75" customHeight="1">
      <c r="A180" s="1"/>
      <c r="B180" s="54"/>
      <c r="C180" s="5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62"/>
      <c r="O180" s="62"/>
      <c r="P180" s="1"/>
      <c r="Q180" s="1"/>
      <c r="R180" s="1"/>
      <c r="S180" s="1"/>
      <c r="T180" s="1"/>
      <c r="U180" s="1"/>
      <c r="V180" s="1"/>
    </row>
    <row r="181" ht="15.75" customHeight="1">
      <c r="A181" s="1"/>
      <c r="B181" s="54"/>
      <c r="C181" s="5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62"/>
      <c r="O181" s="62"/>
      <c r="P181" s="1"/>
      <c r="Q181" s="1"/>
      <c r="R181" s="1"/>
      <c r="S181" s="1"/>
      <c r="T181" s="1"/>
      <c r="U181" s="1"/>
      <c r="V181" s="1"/>
    </row>
    <row r="182" ht="15.75" customHeight="1">
      <c r="A182" s="1"/>
      <c r="B182" s="54"/>
      <c r="C182" s="5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62"/>
      <c r="O182" s="62"/>
      <c r="P182" s="1"/>
      <c r="Q182" s="1"/>
      <c r="R182" s="1"/>
      <c r="S182" s="1"/>
      <c r="T182" s="1"/>
      <c r="U182" s="1"/>
      <c r="V182" s="1"/>
    </row>
    <row r="183" ht="15.75" customHeight="1">
      <c r="A183" s="1"/>
      <c r="B183" s="54"/>
      <c r="C183" s="5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62"/>
      <c r="O183" s="62"/>
      <c r="P183" s="1"/>
      <c r="Q183" s="1"/>
      <c r="R183" s="1"/>
      <c r="S183" s="1"/>
      <c r="T183" s="1"/>
      <c r="U183" s="1"/>
      <c r="V183" s="1"/>
    </row>
    <row r="184" ht="15.75" customHeight="1">
      <c r="A184" s="1"/>
      <c r="B184" s="54"/>
      <c r="C184" s="5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62"/>
      <c r="O184" s="62"/>
      <c r="P184" s="1"/>
      <c r="Q184" s="1"/>
      <c r="R184" s="1"/>
      <c r="S184" s="1"/>
      <c r="T184" s="1"/>
      <c r="U184" s="1"/>
      <c r="V184" s="1"/>
    </row>
    <row r="185" ht="15.75" customHeight="1">
      <c r="A185" s="1"/>
      <c r="B185" s="54"/>
      <c r="C185" s="5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62"/>
      <c r="O185" s="62"/>
      <c r="P185" s="1"/>
      <c r="Q185" s="1"/>
      <c r="R185" s="1"/>
      <c r="S185" s="1"/>
      <c r="T185" s="1"/>
      <c r="U185" s="1"/>
      <c r="V185" s="1"/>
    </row>
    <row r="186" ht="15.75" customHeight="1">
      <c r="A186" s="1"/>
      <c r="B186" s="54"/>
      <c r="C186" s="5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62"/>
      <c r="O186" s="62"/>
      <c r="P186" s="1"/>
      <c r="Q186" s="1"/>
      <c r="R186" s="1"/>
      <c r="S186" s="1"/>
      <c r="T186" s="1"/>
      <c r="U186" s="1"/>
      <c r="V186" s="1"/>
    </row>
    <row r="187" ht="15.75" customHeight="1">
      <c r="A187" s="1"/>
      <c r="B187" s="54"/>
      <c r="C187" s="5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62"/>
      <c r="O187" s="62"/>
      <c r="P187" s="1"/>
      <c r="Q187" s="1"/>
      <c r="R187" s="1"/>
      <c r="S187" s="1"/>
      <c r="T187" s="1"/>
      <c r="U187" s="1"/>
      <c r="V187" s="1"/>
    </row>
    <row r="188" ht="15.75" customHeight="1">
      <c r="A188" s="1"/>
      <c r="B188" s="54"/>
      <c r="C188" s="5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62"/>
      <c r="O188" s="62"/>
      <c r="P188" s="1"/>
      <c r="Q188" s="1"/>
      <c r="R188" s="1"/>
      <c r="S188" s="1"/>
      <c r="T188" s="1"/>
      <c r="U188" s="1"/>
      <c r="V188" s="1"/>
    </row>
    <row r="189" ht="15.75" customHeight="1">
      <c r="A189" s="1"/>
      <c r="B189" s="54"/>
      <c r="C189" s="5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62"/>
      <c r="O189" s="62"/>
      <c r="P189" s="1"/>
      <c r="Q189" s="1"/>
      <c r="R189" s="1"/>
      <c r="S189" s="1"/>
      <c r="T189" s="1"/>
      <c r="U189" s="1"/>
      <c r="V189" s="1"/>
    </row>
    <row r="190" ht="15.75" customHeight="1">
      <c r="A190" s="1"/>
      <c r="B190" s="54"/>
      <c r="C190" s="5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62"/>
      <c r="O190" s="62"/>
      <c r="P190" s="1"/>
      <c r="Q190" s="1"/>
      <c r="R190" s="1"/>
      <c r="S190" s="1"/>
      <c r="T190" s="1"/>
      <c r="U190" s="1"/>
      <c r="V190" s="1"/>
    </row>
    <row r="191" ht="15.75" customHeight="1">
      <c r="A191" s="1"/>
      <c r="B191" s="54"/>
      <c r="C191" s="5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62"/>
      <c r="O191" s="62"/>
      <c r="P191" s="1"/>
      <c r="Q191" s="1"/>
      <c r="R191" s="1"/>
      <c r="S191" s="1"/>
      <c r="T191" s="1"/>
      <c r="U191" s="1"/>
      <c r="V191" s="1"/>
    </row>
    <row r="192" ht="15.75" customHeight="1">
      <c r="A192" s="1"/>
      <c r="B192" s="54"/>
      <c r="C192" s="5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62"/>
      <c r="O192" s="62"/>
      <c r="P192" s="1"/>
      <c r="Q192" s="1"/>
      <c r="R192" s="1"/>
      <c r="S192" s="1"/>
      <c r="T192" s="1"/>
      <c r="U192" s="1"/>
      <c r="V192" s="1"/>
    </row>
    <row r="193" ht="15.75" customHeight="1">
      <c r="A193" s="1"/>
      <c r="B193" s="54"/>
      <c r="C193" s="5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62"/>
      <c r="O193" s="62"/>
      <c r="P193" s="1"/>
      <c r="Q193" s="1"/>
      <c r="R193" s="1"/>
      <c r="S193" s="1"/>
      <c r="T193" s="1"/>
      <c r="U193" s="1"/>
      <c r="V193" s="1"/>
    </row>
    <row r="194" ht="15.75" customHeight="1">
      <c r="A194" s="1"/>
      <c r="B194" s="54"/>
      <c r="C194" s="5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62"/>
      <c r="O194" s="62"/>
      <c r="P194" s="1"/>
      <c r="Q194" s="1"/>
      <c r="R194" s="1"/>
      <c r="S194" s="1"/>
      <c r="T194" s="1"/>
      <c r="U194" s="1"/>
      <c r="V194" s="1"/>
    </row>
    <row r="195" ht="15.75" customHeight="1">
      <c r="A195" s="1"/>
      <c r="B195" s="54"/>
      <c r="C195" s="5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62"/>
      <c r="O195" s="62"/>
      <c r="P195" s="1"/>
      <c r="Q195" s="1"/>
      <c r="R195" s="1"/>
      <c r="S195" s="1"/>
      <c r="T195" s="1"/>
      <c r="U195" s="1"/>
      <c r="V195" s="1"/>
    </row>
    <row r="196" ht="15.75" customHeight="1">
      <c r="A196" s="1"/>
      <c r="B196" s="54"/>
      <c r="C196" s="5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62"/>
      <c r="O196" s="62"/>
      <c r="P196" s="1"/>
      <c r="Q196" s="1"/>
      <c r="R196" s="1"/>
      <c r="S196" s="1"/>
      <c r="T196" s="1"/>
      <c r="U196" s="1"/>
      <c r="V196" s="1"/>
    </row>
    <row r="197" ht="15.75" customHeight="1">
      <c r="A197" s="1"/>
      <c r="B197" s="54"/>
      <c r="C197" s="5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62"/>
      <c r="O197" s="62"/>
      <c r="P197" s="1"/>
      <c r="Q197" s="1"/>
      <c r="R197" s="1"/>
      <c r="S197" s="1"/>
      <c r="T197" s="1"/>
      <c r="U197" s="1"/>
      <c r="V197" s="1"/>
    </row>
    <row r="198" ht="15.75" customHeight="1">
      <c r="A198" s="1"/>
      <c r="B198" s="54"/>
      <c r="C198" s="5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62"/>
      <c r="O198" s="62"/>
      <c r="P198" s="1"/>
      <c r="Q198" s="1"/>
      <c r="R198" s="1"/>
      <c r="S198" s="1"/>
      <c r="T198" s="1"/>
      <c r="U198" s="1"/>
      <c r="V198" s="1"/>
    </row>
    <row r="199" ht="15.75" customHeight="1">
      <c r="A199" s="1"/>
      <c r="B199" s="54"/>
      <c r="C199" s="5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62"/>
      <c r="O199" s="62"/>
      <c r="P199" s="1"/>
      <c r="Q199" s="1"/>
      <c r="R199" s="1"/>
      <c r="S199" s="1"/>
      <c r="T199" s="1"/>
      <c r="U199" s="1"/>
      <c r="V199" s="1"/>
    </row>
    <row r="200" ht="15.75" customHeight="1">
      <c r="A200" s="1"/>
      <c r="B200" s="54"/>
      <c r="C200" s="5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62"/>
      <c r="O200" s="62"/>
      <c r="P200" s="1"/>
      <c r="Q200" s="1"/>
      <c r="R200" s="1"/>
      <c r="S200" s="1"/>
      <c r="T200" s="1"/>
      <c r="U200" s="1"/>
      <c r="V200" s="1"/>
    </row>
    <row r="201" ht="15.75" customHeight="1">
      <c r="A201" s="1"/>
      <c r="B201" s="54"/>
      <c r="C201" s="5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62"/>
      <c r="O201" s="62"/>
      <c r="P201" s="1"/>
      <c r="Q201" s="1"/>
      <c r="R201" s="1"/>
      <c r="S201" s="1"/>
      <c r="T201" s="1"/>
      <c r="U201" s="1"/>
      <c r="V201" s="1"/>
    </row>
    <row r="202" ht="15.75" customHeight="1">
      <c r="A202" s="1"/>
      <c r="B202" s="54"/>
      <c r="C202" s="5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62"/>
      <c r="O202" s="62"/>
      <c r="P202" s="1"/>
      <c r="Q202" s="1"/>
      <c r="R202" s="1"/>
      <c r="S202" s="1"/>
      <c r="T202" s="1"/>
      <c r="U202" s="1"/>
      <c r="V202" s="1"/>
    </row>
    <row r="203" ht="15.75" customHeight="1">
      <c r="A203" s="1"/>
      <c r="B203" s="54"/>
      <c r="C203" s="5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62"/>
      <c r="O203" s="62"/>
      <c r="P203" s="1"/>
      <c r="Q203" s="1"/>
      <c r="R203" s="1"/>
      <c r="S203" s="1"/>
      <c r="T203" s="1"/>
      <c r="U203" s="1"/>
      <c r="V203" s="1"/>
    </row>
    <row r="204" ht="15.75" customHeight="1">
      <c r="A204" s="1"/>
      <c r="B204" s="54"/>
      <c r="C204" s="5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62"/>
      <c r="O204" s="62"/>
      <c r="P204" s="1"/>
      <c r="Q204" s="1"/>
      <c r="R204" s="1"/>
      <c r="S204" s="1"/>
      <c r="T204" s="1"/>
      <c r="U204" s="1"/>
      <c r="V204" s="1"/>
    </row>
    <row r="205" ht="15.75" customHeight="1">
      <c r="A205" s="1"/>
      <c r="B205" s="54"/>
      <c r="C205" s="54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62"/>
      <c r="O205" s="62"/>
      <c r="P205" s="1"/>
      <c r="Q205" s="1"/>
      <c r="R205" s="1"/>
      <c r="S205" s="1"/>
      <c r="T205" s="1"/>
      <c r="U205" s="1"/>
      <c r="V205" s="1"/>
    </row>
    <row r="206" ht="15.75" customHeight="1">
      <c r="A206" s="1"/>
      <c r="B206" s="54"/>
      <c r="C206" s="5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62"/>
      <c r="O206" s="62"/>
      <c r="P206" s="1"/>
      <c r="Q206" s="1"/>
      <c r="R206" s="1"/>
      <c r="S206" s="1"/>
      <c r="T206" s="1"/>
      <c r="U206" s="1"/>
      <c r="V206" s="1"/>
    </row>
    <row r="207" ht="15.75" customHeight="1">
      <c r="A207" s="1"/>
      <c r="B207" s="54"/>
      <c r="C207" s="54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62"/>
      <c r="O207" s="62"/>
      <c r="P207" s="1"/>
      <c r="Q207" s="1"/>
      <c r="R207" s="1"/>
      <c r="S207" s="1"/>
      <c r="T207" s="1"/>
      <c r="U207" s="1"/>
      <c r="V207" s="1"/>
    </row>
    <row r="208" ht="15.75" customHeight="1">
      <c r="A208" s="1"/>
      <c r="B208" s="54"/>
      <c r="C208" s="5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62"/>
      <c r="O208" s="62"/>
      <c r="P208" s="1"/>
      <c r="Q208" s="1"/>
      <c r="R208" s="1"/>
      <c r="S208" s="1"/>
      <c r="T208" s="1"/>
      <c r="U208" s="1"/>
      <c r="V208" s="1"/>
    </row>
    <row r="209" ht="15.75" customHeight="1">
      <c r="A209" s="1"/>
      <c r="B209" s="54"/>
      <c r="C209" s="5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62"/>
      <c r="O209" s="62"/>
      <c r="P209" s="1"/>
      <c r="Q209" s="1"/>
      <c r="R209" s="1"/>
      <c r="S209" s="1"/>
      <c r="T209" s="1"/>
      <c r="U209" s="1"/>
      <c r="V209" s="1"/>
    </row>
    <row r="210" ht="15.75" customHeight="1">
      <c r="A210" s="1"/>
      <c r="B210" s="54"/>
      <c r="C210" s="5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62"/>
      <c r="O210" s="62"/>
      <c r="P210" s="1"/>
      <c r="Q210" s="1"/>
      <c r="R210" s="1"/>
      <c r="S210" s="1"/>
      <c r="T210" s="1"/>
      <c r="U210" s="1"/>
      <c r="V210" s="1"/>
    </row>
    <row r="211" ht="15.75" customHeight="1">
      <c r="A211" s="1"/>
      <c r="B211" s="54"/>
      <c r="C211" s="5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62"/>
      <c r="O211" s="62"/>
      <c r="P211" s="1"/>
      <c r="Q211" s="1"/>
      <c r="R211" s="1"/>
      <c r="S211" s="1"/>
      <c r="T211" s="1"/>
      <c r="U211" s="1"/>
      <c r="V211" s="1"/>
    </row>
    <row r="212" ht="15.75" customHeight="1">
      <c r="A212" s="1"/>
      <c r="B212" s="54"/>
      <c r="C212" s="5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62"/>
      <c r="O212" s="62"/>
      <c r="P212" s="1"/>
      <c r="Q212" s="1"/>
      <c r="R212" s="1"/>
      <c r="S212" s="1"/>
      <c r="T212" s="1"/>
      <c r="U212" s="1"/>
      <c r="V212" s="1"/>
    </row>
    <row r="213" ht="15.75" customHeight="1">
      <c r="A213" s="1"/>
      <c r="B213" s="54"/>
      <c r="C213" s="5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62"/>
      <c r="O213" s="62"/>
      <c r="P213" s="1"/>
      <c r="Q213" s="1"/>
      <c r="R213" s="1"/>
      <c r="S213" s="1"/>
      <c r="T213" s="1"/>
      <c r="U213" s="1"/>
      <c r="V213" s="1"/>
    </row>
    <row r="214" ht="15.75" customHeight="1">
      <c r="A214" s="1"/>
      <c r="B214" s="54"/>
      <c r="C214" s="5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62"/>
      <c r="O214" s="62"/>
      <c r="P214" s="1"/>
      <c r="Q214" s="1"/>
      <c r="R214" s="1"/>
      <c r="S214" s="1"/>
      <c r="T214" s="1"/>
      <c r="U214" s="1"/>
      <c r="V214" s="1"/>
    </row>
    <row r="215" ht="15.75" customHeight="1">
      <c r="A215" s="1"/>
      <c r="B215" s="54"/>
      <c r="C215" s="5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62"/>
      <c r="O215" s="62"/>
      <c r="P215" s="1"/>
      <c r="Q215" s="1"/>
      <c r="R215" s="1"/>
      <c r="S215" s="1"/>
      <c r="T215" s="1"/>
      <c r="U215" s="1"/>
      <c r="V215" s="1"/>
    </row>
    <row r="216" ht="15.75" customHeight="1">
      <c r="A216" s="1"/>
      <c r="B216" s="54"/>
      <c r="C216" s="5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62"/>
      <c r="O216" s="62"/>
      <c r="P216" s="1"/>
      <c r="Q216" s="1"/>
      <c r="R216" s="1"/>
      <c r="S216" s="1"/>
      <c r="T216" s="1"/>
      <c r="U216" s="1"/>
      <c r="V216" s="1"/>
    </row>
    <row r="217" ht="15.75" customHeight="1">
      <c r="A217" s="1"/>
      <c r="B217" s="54"/>
      <c r="C217" s="5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62"/>
      <c r="O217" s="62"/>
      <c r="P217" s="1"/>
      <c r="Q217" s="1"/>
      <c r="R217" s="1"/>
      <c r="S217" s="1"/>
      <c r="T217" s="1"/>
      <c r="U217" s="1"/>
      <c r="V217" s="1"/>
    </row>
    <row r="218" ht="15.75" customHeight="1">
      <c r="A218" s="1"/>
      <c r="B218" s="54"/>
      <c r="C218" s="5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62"/>
      <c r="O218" s="62"/>
      <c r="P218" s="1"/>
      <c r="Q218" s="1"/>
      <c r="R218" s="1"/>
      <c r="S218" s="1"/>
      <c r="T218" s="1"/>
      <c r="U218" s="1"/>
      <c r="V218" s="1"/>
    </row>
    <row r="219" ht="15.75" customHeight="1">
      <c r="A219" s="1"/>
      <c r="B219" s="54"/>
      <c r="C219" s="5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62"/>
      <c r="O219" s="62"/>
      <c r="P219" s="1"/>
      <c r="Q219" s="1"/>
      <c r="R219" s="1"/>
      <c r="S219" s="1"/>
      <c r="T219" s="1"/>
      <c r="U219" s="1"/>
      <c r="V219" s="1"/>
    </row>
    <row r="220" ht="15.75" customHeight="1">
      <c r="A220" s="1"/>
      <c r="B220" s="54"/>
      <c r="C220" s="5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62"/>
      <c r="O220" s="62"/>
      <c r="P220" s="1"/>
      <c r="Q220" s="1"/>
      <c r="R220" s="1"/>
      <c r="S220" s="1"/>
      <c r="T220" s="1"/>
      <c r="U220" s="1"/>
      <c r="V220" s="1"/>
    </row>
    <row r="221" ht="15.75" customHeight="1">
      <c r="A221" s="1"/>
      <c r="B221" s="54"/>
      <c r="C221" s="5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62"/>
      <c r="O221" s="62"/>
      <c r="P221" s="1"/>
      <c r="Q221" s="1"/>
      <c r="R221" s="1"/>
      <c r="S221" s="1"/>
      <c r="T221" s="1"/>
      <c r="U221" s="1"/>
      <c r="V221" s="1"/>
    </row>
    <row r="222" ht="15.75" customHeight="1">
      <c r="A222" s="1"/>
      <c r="B222" s="54"/>
      <c r="C222" s="5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62"/>
      <c r="O222" s="62"/>
      <c r="P222" s="1"/>
      <c r="Q222" s="1"/>
      <c r="R222" s="1"/>
      <c r="S222" s="1"/>
      <c r="T222" s="1"/>
      <c r="U222" s="1"/>
      <c r="V222" s="1"/>
    </row>
    <row r="223" ht="15.75" customHeight="1">
      <c r="A223" s="1"/>
      <c r="B223" s="54"/>
      <c r="C223" s="5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62"/>
      <c r="O223" s="62"/>
      <c r="P223" s="1"/>
      <c r="Q223" s="1"/>
      <c r="R223" s="1"/>
      <c r="S223" s="1"/>
      <c r="T223" s="1"/>
      <c r="U223" s="1"/>
      <c r="V223" s="1"/>
    </row>
    <row r="224" ht="15.75" customHeight="1">
      <c r="A224" s="1"/>
      <c r="B224" s="54"/>
      <c r="C224" s="54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62"/>
      <c r="O224" s="62"/>
      <c r="P224" s="1"/>
      <c r="Q224" s="1"/>
      <c r="R224" s="1"/>
      <c r="S224" s="1"/>
      <c r="T224" s="1"/>
      <c r="U224" s="1"/>
      <c r="V224" s="1"/>
    </row>
    <row r="225" ht="15.75" customHeight="1">
      <c r="A225" s="1"/>
      <c r="B225" s="54"/>
      <c r="C225" s="54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62"/>
      <c r="O225" s="62"/>
      <c r="P225" s="1"/>
      <c r="Q225" s="1"/>
      <c r="R225" s="1"/>
      <c r="S225" s="1"/>
      <c r="T225" s="1"/>
      <c r="U225" s="1"/>
      <c r="V225" s="1"/>
    </row>
    <row r="226" ht="15.75" customHeight="1">
      <c r="A226" s="1"/>
      <c r="B226" s="54"/>
      <c r="C226" s="5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62"/>
      <c r="O226" s="62"/>
      <c r="P226" s="1"/>
      <c r="Q226" s="1"/>
      <c r="R226" s="1"/>
      <c r="S226" s="1"/>
      <c r="T226" s="1"/>
      <c r="U226" s="1"/>
      <c r="V226" s="1"/>
    </row>
    <row r="227" ht="15.75" customHeight="1">
      <c r="A227" s="1"/>
      <c r="B227" s="54"/>
      <c r="C227" s="54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62"/>
      <c r="O227" s="62"/>
      <c r="P227" s="1"/>
      <c r="Q227" s="1"/>
      <c r="R227" s="1"/>
      <c r="S227" s="1"/>
      <c r="T227" s="1"/>
      <c r="U227" s="1"/>
      <c r="V227" s="1"/>
    </row>
    <row r="228" ht="15.75" customHeight="1">
      <c r="A228" s="1"/>
      <c r="B228" s="54"/>
      <c r="C228" s="54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62"/>
      <c r="O228" s="62"/>
      <c r="P228" s="1"/>
      <c r="Q228" s="1"/>
      <c r="R228" s="1"/>
      <c r="S228" s="1"/>
      <c r="T228" s="1"/>
      <c r="U228" s="1"/>
      <c r="V228" s="1"/>
    </row>
    <row r="229" ht="15.75" customHeight="1">
      <c r="A229" s="1"/>
      <c r="B229" s="54"/>
      <c r="C229" s="54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62"/>
      <c r="O229" s="62"/>
      <c r="P229" s="1"/>
      <c r="Q229" s="1"/>
      <c r="R229" s="1"/>
      <c r="S229" s="1"/>
      <c r="T229" s="1"/>
      <c r="U229" s="1"/>
      <c r="V229" s="1"/>
    </row>
    <row r="230" ht="15.75" customHeight="1">
      <c r="A230" s="1"/>
      <c r="B230" s="54"/>
      <c r="C230" s="54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62"/>
      <c r="O230" s="62"/>
      <c r="P230" s="1"/>
      <c r="Q230" s="1"/>
      <c r="R230" s="1"/>
      <c r="S230" s="1"/>
      <c r="T230" s="1"/>
      <c r="U230" s="1"/>
      <c r="V230" s="1"/>
    </row>
    <row r="231" ht="15.75" customHeight="1">
      <c r="A231" s="1"/>
      <c r="B231" s="54"/>
      <c r="C231" s="54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62"/>
      <c r="O231" s="62"/>
      <c r="P231" s="1"/>
      <c r="Q231" s="1"/>
      <c r="R231" s="1"/>
      <c r="S231" s="1"/>
      <c r="T231" s="1"/>
      <c r="U231" s="1"/>
      <c r="V231" s="1"/>
    </row>
    <row r="232" ht="15.75" customHeight="1">
      <c r="A232" s="1"/>
      <c r="B232" s="54"/>
      <c r="C232" s="5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62"/>
      <c r="O232" s="62"/>
      <c r="P232" s="1"/>
      <c r="Q232" s="1"/>
      <c r="R232" s="1"/>
      <c r="S232" s="1"/>
      <c r="T232" s="1"/>
      <c r="U232" s="1"/>
      <c r="V232" s="1"/>
    </row>
    <row r="233" ht="15.75" customHeight="1">
      <c r="A233" s="1"/>
      <c r="B233" s="54"/>
      <c r="C233" s="54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62"/>
      <c r="O233" s="62"/>
      <c r="P233" s="1"/>
      <c r="Q233" s="1"/>
      <c r="R233" s="1"/>
      <c r="S233" s="1"/>
      <c r="T233" s="1"/>
      <c r="U233" s="1"/>
      <c r="V233" s="1"/>
    </row>
    <row r="234" ht="15.75" customHeight="1">
      <c r="A234" s="1"/>
      <c r="B234" s="54"/>
      <c r="C234" s="54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62"/>
      <c r="O234" s="62"/>
      <c r="P234" s="1"/>
      <c r="Q234" s="1"/>
      <c r="R234" s="1"/>
      <c r="S234" s="1"/>
      <c r="T234" s="1"/>
      <c r="U234" s="1"/>
      <c r="V234" s="1"/>
    </row>
    <row r="235" ht="15.75" customHeight="1">
      <c r="A235" s="1"/>
      <c r="B235" s="54"/>
      <c r="C235" s="54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62"/>
      <c r="O235" s="62"/>
      <c r="P235" s="1"/>
      <c r="Q235" s="1"/>
      <c r="R235" s="1"/>
      <c r="S235" s="1"/>
      <c r="T235" s="1"/>
      <c r="U235" s="1"/>
      <c r="V235" s="1"/>
    </row>
    <row r="236" ht="15.75" customHeight="1">
      <c r="A236" s="1"/>
      <c r="B236" s="54"/>
      <c r="C236" s="54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62"/>
      <c r="O236" s="62"/>
      <c r="P236" s="1"/>
      <c r="Q236" s="1"/>
      <c r="R236" s="1"/>
      <c r="S236" s="1"/>
      <c r="T236" s="1"/>
      <c r="U236" s="1"/>
      <c r="V236" s="1"/>
    </row>
    <row r="237" ht="15.75" customHeight="1">
      <c r="A237" s="1"/>
      <c r="B237" s="54"/>
      <c r="C237" s="54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62"/>
      <c r="O237" s="62"/>
      <c r="P237" s="1"/>
      <c r="Q237" s="1"/>
      <c r="R237" s="1"/>
      <c r="S237" s="1"/>
      <c r="T237" s="1"/>
      <c r="U237" s="1"/>
      <c r="V237" s="1"/>
    </row>
    <row r="238" ht="15.75" customHeight="1">
      <c r="A238" s="1"/>
      <c r="B238" s="54"/>
      <c r="C238" s="5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62"/>
      <c r="O238" s="62"/>
      <c r="P238" s="1"/>
      <c r="Q238" s="1"/>
      <c r="R238" s="1"/>
      <c r="S238" s="1"/>
      <c r="T238" s="1"/>
      <c r="U238" s="1"/>
      <c r="V238" s="1"/>
    </row>
    <row r="239" ht="15.75" customHeight="1">
      <c r="A239" s="1"/>
      <c r="B239" s="54"/>
      <c r="C239" s="54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62"/>
      <c r="O239" s="62"/>
      <c r="P239" s="1"/>
      <c r="Q239" s="1"/>
      <c r="R239" s="1"/>
      <c r="S239" s="1"/>
      <c r="T239" s="1"/>
      <c r="U239" s="1"/>
      <c r="V239" s="1"/>
    </row>
    <row r="240" ht="15.75" customHeight="1">
      <c r="A240" s="1"/>
      <c r="B240" s="54"/>
      <c r="C240" s="54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62"/>
      <c r="O240" s="62"/>
      <c r="P240" s="1"/>
      <c r="Q240" s="1"/>
      <c r="R240" s="1"/>
      <c r="S240" s="1"/>
      <c r="T240" s="1"/>
      <c r="U240" s="1"/>
      <c r="V240" s="1"/>
    </row>
    <row r="241" ht="15.75" customHeight="1">
      <c r="A241" s="1"/>
      <c r="B241" s="54"/>
      <c r="C241" s="54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62"/>
      <c r="O241" s="62"/>
      <c r="P241" s="1"/>
      <c r="Q241" s="1"/>
      <c r="R241" s="1"/>
      <c r="S241" s="1"/>
      <c r="T241" s="1"/>
      <c r="U241" s="1"/>
      <c r="V241" s="1"/>
    </row>
    <row r="242" ht="15.75" customHeight="1">
      <c r="A242" s="1"/>
      <c r="B242" s="54"/>
      <c r="C242" s="54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62"/>
      <c r="O242" s="62"/>
      <c r="P242" s="1"/>
      <c r="Q242" s="1"/>
      <c r="R242" s="1"/>
      <c r="S242" s="1"/>
      <c r="T242" s="1"/>
      <c r="U242" s="1"/>
      <c r="V242" s="1"/>
    </row>
    <row r="243" ht="15.75" customHeight="1">
      <c r="A243" s="1"/>
      <c r="B243" s="54"/>
      <c r="C243" s="54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62"/>
      <c r="O243" s="62"/>
      <c r="P243" s="1"/>
      <c r="Q243" s="1"/>
      <c r="R243" s="1"/>
      <c r="S243" s="1"/>
      <c r="T243" s="1"/>
      <c r="U243" s="1"/>
      <c r="V243" s="1"/>
    </row>
    <row r="244" ht="15.75" customHeight="1">
      <c r="A244" s="1"/>
      <c r="B244" s="54"/>
      <c r="C244" s="54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62"/>
      <c r="O244" s="62"/>
      <c r="P244" s="1"/>
      <c r="Q244" s="1"/>
      <c r="R244" s="1"/>
      <c r="S244" s="1"/>
      <c r="T244" s="1"/>
      <c r="U244" s="1"/>
      <c r="V244" s="1"/>
    </row>
    <row r="245" ht="15.75" customHeight="1">
      <c r="A245" s="1"/>
      <c r="B245" s="54"/>
      <c r="C245" s="54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62"/>
      <c r="O245" s="62"/>
      <c r="P245" s="1"/>
      <c r="Q245" s="1"/>
      <c r="R245" s="1"/>
      <c r="S245" s="1"/>
      <c r="T245" s="1"/>
      <c r="U245" s="1"/>
      <c r="V245" s="1"/>
    </row>
    <row r="246" ht="15.75" customHeight="1">
      <c r="A246" s="1"/>
      <c r="B246" s="54"/>
      <c r="C246" s="54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62"/>
      <c r="O246" s="62"/>
      <c r="P246" s="1"/>
      <c r="Q246" s="1"/>
      <c r="R246" s="1"/>
      <c r="S246" s="1"/>
      <c r="T246" s="1"/>
      <c r="U246" s="1"/>
      <c r="V246" s="1"/>
    </row>
    <row r="247" ht="15.75" customHeight="1">
      <c r="A247" s="1"/>
      <c r="B247" s="54"/>
      <c r="C247" s="54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62"/>
      <c r="O247" s="62"/>
      <c r="P247" s="1"/>
      <c r="Q247" s="1"/>
      <c r="R247" s="1"/>
      <c r="S247" s="1"/>
      <c r="T247" s="1"/>
      <c r="U247" s="1"/>
      <c r="V247" s="1"/>
    </row>
    <row r="248" ht="15.75" customHeight="1">
      <c r="A248" s="1"/>
      <c r="B248" s="54"/>
      <c r="C248" s="54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62"/>
      <c r="O248" s="62"/>
      <c r="P248" s="1"/>
      <c r="Q248" s="1"/>
      <c r="R248" s="1"/>
      <c r="S248" s="1"/>
      <c r="T248" s="1"/>
      <c r="U248" s="1"/>
      <c r="V248" s="1"/>
    </row>
    <row r="249" ht="15.75" customHeight="1">
      <c r="A249" s="1"/>
      <c r="B249" s="54"/>
      <c r="C249" s="54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62"/>
      <c r="O249" s="62"/>
      <c r="P249" s="1"/>
      <c r="Q249" s="1"/>
      <c r="R249" s="1"/>
      <c r="S249" s="1"/>
      <c r="T249" s="1"/>
      <c r="U249" s="1"/>
      <c r="V249" s="1"/>
    </row>
    <row r="250" ht="15.75" customHeight="1">
      <c r="A250" s="1"/>
      <c r="B250" s="54"/>
      <c r="C250" s="54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62"/>
      <c r="O250" s="62"/>
      <c r="P250" s="1"/>
      <c r="Q250" s="1"/>
      <c r="R250" s="1"/>
      <c r="S250" s="1"/>
      <c r="T250" s="1"/>
      <c r="U250" s="1"/>
      <c r="V250" s="1"/>
    </row>
    <row r="251" ht="15.75" customHeight="1">
      <c r="A251" s="1"/>
      <c r="B251" s="54"/>
      <c r="C251" s="54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62"/>
      <c r="O251" s="62"/>
      <c r="P251" s="1"/>
      <c r="Q251" s="1"/>
      <c r="R251" s="1"/>
      <c r="S251" s="1"/>
      <c r="T251" s="1"/>
      <c r="U251" s="1"/>
      <c r="V251" s="1"/>
    </row>
    <row r="252" ht="15.75" customHeight="1">
      <c r="A252" s="1"/>
      <c r="B252" s="54"/>
      <c r="C252" s="54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62"/>
      <c r="O252" s="62"/>
      <c r="P252" s="1"/>
      <c r="Q252" s="1"/>
      <c r="R252" s="1"/>
      <c r="S252" s="1"/>
      <c r="T252" s="1"/>
      <c r="U252" s="1"/>
      <c r="V252" s="1"/>
    </row>
    <row r="253" ht="15.75" customHeight="1">
      <c r="A253" s="1"/>
      <c r="B253" s="54"/>
      <c r="C253" s="54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62"/>
      <c r="O253" s="62"/>
      <c r="P253" s="1"/>
      <c r="Q253" s="1"/>
      <c r="R253" s="1"/>
      <c r="S253" s="1"/>
      <c r="T253" s="1"/>
      <c r="U253" s="1"/>
      <c r="V253" s="1"/>
    </row>
    <row r="254" ht="15.75" customHeight="1">
      <c r="A254" s="1"/>
      <c r="B254" s="54"/>
      <c r="C254" s="54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62"/>
      <c r="O254" s="62"/>
      <c r="P254" s="1"/>
      <c r="Q254" s="1"/>
      <c r="R254" s="1"/>
      <c r="S254" s="1"/>
      <c r="T254" s="1"/>
      <c r="U254" s="1"/>
      <c r="V254" s="1"/>
    </row>
    <row r="255" ht="15.75" customHeight="1">
      <c r="A255" s="1"/>
      <c r="B255" s="54"/>
      <c r="C255" s="5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62"/>
      <c r="O255" s="62"/>
      <c r="P255" s="1"/>
      <c r="Q255" s="1"/>
      <c r="R255" s="1"/>
      <c r="S255" s="1"/>
      <c r="T255" s="1"/>
      <c r="U255" s="1"/>
      <c r="V255" s="1"/>
    </row>
    <row r="256" ht="15.75" customHeight="1">
      <c r="A256" s="1"/>
      <c r="B256" s="54"/>
      <c r="C256" s="5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62"/>
      <c r="O256" s="62"/>
      <c r="P256" s="1"/>
      <c r="Q256" s="1"/>
      <c r="R256" s="1"/>
      <c r="S256" s="1"/>
      <c r="T256" s="1"/>
      <c r="U256" s="1"/>
      <c r="V256" s="1"/>
    </row>
    <row r="257" ht="15.75" customHeight="1">
      <c r="A257" s="1"/>
      <c r="B257" s="54"/>
      <c r="C257" s="54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62"/>
      <c r="O257" s="62"/>
      <c r="P257" s="1"/>
      <c r="Q257" s="1"/>
      <c r="R257" s="1"/>
      <c r="S257" s="1"/>
      <c r="T257" s="1"/>
      <c r="U257" s="1"/>
      <c r="V257" s="1"/>
    </row>
    <row r="258" ht="15.75" customHeight="1">
      <c r="A258" s="1"/>
      <c r="B258" s="54"/>
      <c r="C258" s="54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62"/>
      <c r="O258" s="62"/>
      <c r="P258" s="1"/>
      <c r="Q258" s="1"/>
      <c r="R258" s="1"/>
      <c r="S258" s="1"/>
      <c r="T258" s="1"/>
      <c r="U258" s="1"/>
      <c r="V258" s="1"/>
    </row>
    <row r="259" ht="15.75" customHeight="1">
      <c r="A259" s="1"/>
      <c r="B259" s="54"/>
      <c r="C259" s="54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62"/>
      <c r="O259" s="62"/>
      <c r="P259" s="1"/>
      <c r="Q259" s="1"/>
      <c r="R259" s="1"/>
      <c r="S259" s="1"/>
      <c r="T259" s="1"/>
      <c r="U259" s="1"/>
      <c r="V259" s="1"/>
    </row>
    <row r="260" ht="15.75" customHeight="1">
      <c r="A260" s="1"/>
      <c r="B260" s="54"/>
      <c r="C260" s="54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62"/>
      <c r="O260" s="62"/>
      <c r="P260" s="1"/>
      <c r="Q260" s="1"/>
      <c r="R260" s="1"/>
      <c r="S260" s="1"/>
      <c r="T260" s="1"/>
      <c r="U260" s="1"/>
      <c r="V260" s="1"/>
    </row>
    <row r="261" ht="15.75" customHeight="1">
      <c r="A261" s="1"/>
      <c r="B261" s="54"/>
      <c r="C261" s="54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62"/>
      <c r="O261" s="62"/>
      <c r="P261" s="1"/>
      <c r="Q261" s="1"/>
      <c r="R261" s="1"/>
      <c r="S261" s="1"/>
      <c r="T261" s="1"/>
      <c r="U261" s="1"/>
      <c r="V261" s="1"/>
    </row>
    <row r="262" ht="15.75" customHeight="1">
      <c r="A262" s="1"/>
      <c r="B262" s="54"/>
      <c r="C262" s="54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62"/>
      <c r="O262" s="62"/>
      <c r="P262" s="1"/>
      <c r="Q262" s="1"/>
      <c r="R262" s="1"/>
      <c r="S262" s="1"/>
      <c r="T262" s="1"/>
      <c r="U262" s="1"/>
      <c r="V262" s="1"/>
    </row>
    <row r="263" ht="15.75" customHeight="1">
      <c r="A263" s="1"/>
      <c r="B263" s="54"/>
      <c r="C263" s="54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62"/>
      <c r="O263" s="62"/>
      <c r="P263" s="1"/>
      <c r="Q263" s="1"/>
      <c r="R263" s="1"/>
      <c r="S263" s="1"/>
      <c r="T263" s="1"/>
      <c r="U263" s="1"/>
      <c r="V263" s="1"/>
    </row>
    <row r="264" ht="15.75" customHeight="1">
      <c r="A264" s="1"/>
      <c r="B264" s="54"/>
      <c r="C264" s="54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62"/>
      <c r="O264" s="62"/>
      <c r="P264" s="1"/>
      <c r="Q264" s="1"/>
      <c r="R264" s="1"/>
      <c r="S264" s="1"/>
      <c r="T264" s="1"/>
      <c r="U264" s="1"/>
      <c r="V264" s="1"/>
    </row>
    <row r="265" ht="15.75" customHeight="1">
      <c r="A265" s="1"/>
      <c r="B265" s="54"/>
      <c r="C265" s="54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62"/>
      <c r="O265" s="62"/>
      <c r="P265" s="1"/>
      <c r="Q265" s="1"/>
      <c r="R265" s="1"/>
      <c r="S265" s="1"/>
      <c r="T265" s="1"/>
      <c r="U265" s="1"/>
      <c r="V265" s="1"/>
    </row>
    <row r="266" ht="15.75" customHeight="1">
      <c r="A266" s="1"/>
      <c r="B266" s="54"/>
      <c r="C266" s="54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62"/>
      <c r="O266" s="62"/>
      <c r="P266" s="1"/>
      <c r="Q266" s="1"/>
      <c r="R266" s="1"/>
      <c r="S266" s="1"/>
      <c r="T266" s="1"/>
      <c r="U266" s="1"/>
      <c r="V266" s="1"/>
    </row>
    <row r="267" ht="15.75" customHeight="1">
      <c r="A267" s="1"/>
      <c r="B267" s="54"/>
      <c r="C267" s="54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62"/>
      <c r="O267" s="62"/>
      <c r="P267" s="1"/>
      <c r="Q267" s="1"/>
      <c r="R267" s="1"/>
      <c r="S267" s="1"/>
      <c r="T267" s="1"/>
      <c r="U267" s="1"/>
      <c r="V267" s="1"/>
    </row>
    <row r="268" ht="15.75" customHeight="1">
      <c r="A268" s="1"/>
      <c r="B268" s="54"/>
      <c r="C268" s="54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62"/>
      <c r="O268" s="62"/>
      <c r="P268" s="1"/>
      <c r="Q268" s="1"/>
      <c r="R268" s="1"/>
      <c r="S268" s="1"/>
      <c r="T268" s="1"/>
      <c r="U268" s="1"/>
      <c r="V268" s="1"/>
    </row>
    <row r="269" ht="15.75" customHeight="1">
      <c r="A269" s="1"/>
      <c r="B269" s="54"/>
      <c r="C269" s="54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62"/>
      <c r="O269" s="62"/>
      <c r="P269" s="1"/>
      <c r="Q269" s="1"/>
      <c r="R269" s="1"/>
      <c r="S269" s="1"/>
      <c r="T269" s="1"/>
      <c r="U269" s="1"/>
      <c r="V269" s="1"/>
    </row>
    <row r="270" ht="15.75" customHeight="1">
      <c r="A270" s="1"/>
      <c r="B270" s="54"/>
      <c r="C270" s="54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62"/>
      <c r="O270" s="62"/>
      <c r="P270" s="1"/>
      <c r="Q270" s="1"/>
      <c r="R270" s="1"/>
      <c r="S270" s="1"/>
      <c r="T270" s="1"/>
      <c r="U270" s="1"/>
      <c r="V270" s="1"/>
    </row>
    <row r="271" ht="15.75" customHeight="1">
      <c r="A271" s="1"/>
      <c r="B271" s="54"/>
      <c r="C271" s="54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62"/>
      <c r="O271" s="62"/>
      <c r="P271" s="1"/>
      <c r="Q271" s="1"/>
      <c r="R271" s="1"/>
      <c r="S271" s="1"/>
      <c r="T271" s="1"/>
      <c r="U271" s="1"/>
      <c r="V271" s="1"/>
    </row>
    <row r="272" ht="15.75" customHeight="1">
      <c r="A272" s="1"/>
      <c r="B272" s="54"/>
      <c r="C272" s="54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62"/>
      <c r="O272" s="62"/>
      <c r="P272" s="1"/>
      <c r="Q272" s="1"/>
      <c r="R272" s="1"/>
      <c r="S272" s="1"/>
      <c r="T272" s="1"/>
      <c r="U272" s="1"/>
      <c r="V272" s="1"/>
    </row>
    <row r="273" ht="15.75" customHeight="1">
      <c r="A273" s="1"/>
      <c r="B273" s="54"/>
      <c r="C273" s="5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62"/>
      <c r="O273" s="62"/>
      <c r="P273" s="1"/>
      <c r="Q273" s="1"/>
      <c r="R273" s="1"/>
      <c r="S273" s="1"/>
      <c r="T273" s="1"/>
      <c r="U273" s="1"/>
      <c r="V273" s="1"/>
    </row>
    <row r="274" ht="15.75" customHeight="1">
      <c r="A274" s="1"/>
      <c r="B274" s="54"/>
      <c r="C274" s="54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62"/>
      <c r="O274" s="62"/>
      <c r="P274" s="1"/>
      <c r="Q274" s="1"/>
      <c r="R274" s="1"/>
      <c r="S274" s="1"/>
      <c r="T274" s="1"/>
      <c r="U274" s="1"/>
      <c r="V274" s="1"/>
    </row>
    <row r="275" ht="15.75" customHeight="1">
      <c r="A275" s="1"/>
      <c r="B275" s="54"/>
      <c r="C275" s="54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62"/>
      <c r="O275" s="62"/>
      <c r="P275" s="1"/>
      <c r="Q275" s="1"/>
      <c r="R275" s="1"/>
      <c r="S275" s="1"/>
      <c r="T275" s="1"/>
      <c r="U275" s="1"/>
      <c r="V275" s="1"/>
    </row>
    <row r="276" ht="15.75" customHeight="1">
      <c r="A276" s="1"/>
      <c r="B276" s="54"/>
      <c r="C276" s="54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62"/>
      <c r="O276" s="62"/>
      <c r="P276" s="1"/>
      <c r="Q276" s="1"/>
      <c r="R276" s="1"/>
      <c r="S276" s="1"/>
      <c r="T276" s="1"/>
      <c r="U276" s="1"/>
      <c r="V276" s="1"/>
    </row>
    <row r="277" ht="15.75" customHeight="1">
      <c r="A277" s="1"/>
      <c r="B277" s="54"/>
      <c r="C277" s="54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62"/>
      <c r="O277" s="62"/>
      <c r="P277" s="1"/>
      <c r="Q277" s="1"/>
      <c r="R277" s="1"/>
      <c r="S277" s="1"/>
      <c r="T277" s="1"/>
      <c r="U277" s="1"/>
      <c r="V277" s="1"/>
    </row>
    <row r="278" ht="15.75" customHeight="1">
      <c r="A278" s="1"/>
      <c r="B278" s="54"/>
      <c r="C278" s="54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62"/>
      <c r="O278" s="62"/>
      <c r="P278" s="1"/>
      <c r="Q278" s="1"/>
      <c r="R278" s="1"/>
      <c r="S278" s="1"/>
      <c r="T278" s="1"/>
      <c r="U278" s="1"/>
      <c r="V278" s="1"/>
    </row>
    <row r="279" ht="15.75" customHeight="1">
      <c r="A279" s="1"/>
      <c r="B279" s="54"/>
      <c r="C279" s="5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62"/>
      <c r="O279" s="62"/>
      <c r="P279" s="1"/>
      <c r="Q279" s="1"/>
      <c r="R279" s="1"/>
      <c r="S279" s="1"/>
      <c r="T279" s="1"/>
      <c r="U279" s="1"/>
      <c r="V279" s="1"/>
    </row>
    <row r="280" ht="15.75" customHeight="1">
      <c r="A280" s="1"/>
      <c r="B280" s="54"/>
      <c r="C280" s="5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62"/>
      <c r="O280" s="62"/>
      <c r="P280" s="1"/>
      <c r="Q280" s="1"/>
      <c r="R280" s="1"/>
      <c r="S280" s="1"/>
      <c r="T280" s="1"/>
      <c r="U280" s="1"/>
      <c r="V280" s="1"/>
    </row>
    <row r="281" ht="15.75" customHeight="1">
      <c r="A281" s="1"/>
      <c r="B281" s="54"/>
      <c r="C281" s="5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62"/>
      <c r="O281" s="62"/>
      <c r="P281" s="1"/>
      <c r="Q281" s="1"/>
      <c r="R281" s="1"/>
      <c r="S281" s="1"/>
      <c r="T281" s="1"/>
      <c r="U281" s="1"/>
      <c r="V281" s="1"/>
    </row>
    <row r="282" ht="15.75" customHeight="1">
      <c r="A282" s="1"/>
      <c r="B282" s="54"/>
      <c r="C282" s="5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62"/>
      <c r="O282" s="62"/>
      <c r="P282" s="1"/>
      <c r="Q282" s="1"/>
      <c r="R282" s="1"/>
      <c r="S282" s="1"/>
      <c r="T282" s="1"/>
      <c r="U282" s="1"/>
      <c r="V282" s="1"/>
    </row>
    <row r="283" ht="15.75" customHeight="1">
      <c r="A283" s="1"/>
      <c r="B283" s="54"/>
      <c r="C283" s="5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62"/>
      <c r="O283" s="62"/>
      <c r="P283" s="1"/>
      <c r="Q283" s="1"/>
      <c r="R283" s="1"/>
      <c r="S283" s="1"/>
      <c r="T283" s="1"/>
      <c r="U283" s="1"/>
      <c r="V283" s="1"/>
    </row>
    <row r="284" ht="15.75" customHeight="1">
      <c r="A284" s="1"/>
      <c r="B284" s="54"/>
      <c r="C284" s="5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62"/>
      <c r="O284" s="62"/>
      <c r="P284" s="1"/>
      <c r="Q284" s="1"/>
      <c r="R284" s="1"/>
      <c r="S284" s="1"/>
      <c r="T284" s="1"/>
      <c r="U284" s="1"/>
      <c r="V284" s="1"/>
    </row>
    <row r="285" ht="15.75" customHeight="1">
      <c r="A285" s="1"/>
      <c r="B285" s="54"/>
      <c r="C285" s="5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62"/>
      <c r="O285" s="62"/>
      <c r="P285" s="1"/>
      <c r="Q285" s="1"/>
      <c r="R285" s="1"/>
      <c r="S285" s="1"/>
      <c r="T285" s="1"/>
      <c r="U285" s="1"/>
      <c r="V285" s="1"/>
    </row>
    <row r="286" ht="15.75" customHeight="1">
      <c r="A286" s="1"/>
      <c r="B286" s="54"/>
      <c r="C286" s="5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62"/>
      <c r="O286" s="62"/>
      <c r="P286" s="1"/>
      <c r="Q286" s="1"/>
      <c r="R286" s="1"/>
      <c r="S286" s="1"/>
      <c r="T286" s="1"/>
      <c r="U286" s="1"/>
      <c r="V286" s="1"/>
    </row>
    <row r="287" ht="15.75" customHeight="1">
      <c r="A287" s="1"/>
      <c r="B287" s="54"/>
      <c r="C287" s="5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62"/>
      <c r="O287" s="62"/>
      <c r="P287" s="1"/>
      <c r="Q287" s="1"/>
      <c r="R287" s="1"/>
      <c r="S287" s="1"/>
      <c r="T287" s="1"/>
      <c r="U287" s="1"/>
      <c r="V287" s="1"/>
    </row>
    <row r="288" ht="15.75" customHeight="1">
      <c r="A288" s="1"/>
      <c r="B288" s="54"/>
      <c r="C288" s="5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62"/>
      <c r="O288" s="62"/>
      <c r="P288" s="1"/>
      <c r="Q288" s="1"/>
      <c r="R288" s="1"/>
      <c r="S288" s="1"/>
      <c r="T288" s="1"/>
      <c r="U288" s="1"/>
      <c r="V288" s="1"/>
    </row>
    <row r="289" ht="15.75" customHeight="1">
      <c r="A289" s="1"/>
      <c r="B289" s="54"/>
      <c r="C289" s="5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62"/>
      <c r="O289" s="62"/>
      <c r="P289" s="1"/>
      <c r="Q289" s="1"/>
      <c r="R289" s="1"/>
      <c r="S289" s="1"/>
      <c r="T289" s="1"/>
      <c r="U289" s="1"/>
      <c r="V289" s="1"/>
    </row>
    <row r="290" ht="15.75" customHeight="1">
      <c r="A290" s="1"/>
      <c r="B290" s="54"/>
      <c r="C290" s="5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62"/>
      <c r="O290" s="62"/>
      <c r="P290" s="1"/>
      <c r="Q290" s="1"/>
      <c r="R290" s="1"/>
      <c r="S290" s="1"/>
      <c r="T290" s="1"/>
      <c r="U290" s="1"/>
      <c r="V290" s="1"/>
    </row>
    <row r="291" ht="15.75" customHeight="1">
      <c r="A291" s="1"/>
      <c r="B291" s="54"/>
      <c r="C291" s="5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62"/>
      <c r="O291" s="62"/>
      <c r="P291" s="1"/>
      <c r="Q291" s="1"/>
      <c r="R291" s="1"/>
      <c r="S291" s="1"/>
      <c r="T291" s="1"/>
      <c r="U291" s="1"/>
      <c r="V291" s="1"/>
    </row>
    <row r="292" ht="15.75" customHeight="1">
      <c r="A292" s="1"/>
      <c r="B292" s="54"/>
      <c r="C292" s="5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62"/>
      <c r="O292" s="62"/>
      <c r="P292" s="1"/>
      <c r="Q292" s="1"/>
      <c r="R292" s="1"/>
      <c r="S292" s="1"/>
      <c r="T292" s="1"/>
      <c r="U292" s="1"/>
      <c r="V292" s="1"/>
    </row>
    <row r="293" ht="15.75" customHeight="1">
      <c r="A293" s="1"/>
      <c r="B293" s="54"/>
      <c r="C293" s="5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62"/>
      <c r="O293" s="62"/>
      <c r="P293" s="1"/>
      <c r="Q293" s="1"/>
      <c r="R293" s="1"/>
      <c r="S293" s="1"/>
      <c r="T293" s="1"/>
      <c r="U293" s="1"/>
      <c r="V293" s="1"/>
    </row>
    <row r="294" ht="15.75" customHeight="1">
      <c r="A294" s="1"/>
      <c r="B294" s="54"/>
      <c r="C294" s="5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62"/>
      <c r="O294" s="62"/>
      <c r="P294" s="1"/>
      <c r="Q294" s="1"/>
      <c r="R294" s="1"/>
      <c r="S294" s="1"/>
      <c r="T294" s="1"/>
      <c r="U294" s="1"/>
      <c r="V294" s="1"/>
    </row>
    <row r="295" ht="15.75" customHeight="1">
      <c r="A295" s="1"/>
      <c r="B295" s="54"/>
      <c r="C295" s="5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62"/>
      <c r="O295" s="62"/>
      <c r="P295" s="1"/>
      <c r="Q295" s="1"/>
      <c r="R295" s="1"/>
      <c r="S295" s="1"/>
      <c r="T295" s="1"/>
      <c r="U295" s="1"/>
      <c r="V295" s="1"/>
    </row>
    <row r="296" ht="15.75" customHeight="1">
      <c r="A296" s="1"/>
      <c r="B296" s="54"/>
      <c r="C296" s="5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62"/>
      <c r="O296" s="62"/>
      <c r="P296" s="1"/>
      <c r="Q296" s="1"/>
      <c r="R296" s="1"/>
      <c r="S296" s="1"/>
      <c r="T296" s="1"/>
      <c r="U296" s="1"/>
      <c r="V296" s="1"/>
    </row>
    <row r="297" ht="15.75" customHeight="1">
      <c r="A297" s="1"/>
      <c r="B297" s="54"/>
      <c r="C297" s="5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62"/>
      <c r="O297" s="62"/>
      <c r="P297" s="1"/>
      <c r="Q297" s="1"/>
      <c r="R297" s="1"/>
      <c r="S297" s="1"/>
      <c r="T297" s="1"/>
      <c r="U297" s="1"/>
      <c r="V297" s="1"/>
    </row>
    <row r="298" ht="15.75" customHeight="1">
      <c r="A298" s="1"/>
      <c r="B298" s="54"/>
      <c r="C298" s="54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62"/>
      <c r="O298" s="62"/>
      <c r="P298" s="1"/>
      <c r="Q298" s="1"/>
      <c r="R298" s="1"/>
      <c r="S298" s="1"/>
      <c r="T298" s="1"/>
      <c r="U298" s="1"/>
      <c r="V298" s="1"/>
    </row>
    <row r="299" ht="15.75" customHeight="1">
      <c r="A299" s="1"/>
      <c r="B299" s="54"/>
      <c r="C299" s="54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62"/>
      <c r="O299" s="62"/>
      <c r="P299" s="1"/>
      <c r="Q299" s="1"/>
      <c r="R299" s="1"/>
      <c r="S299" s="1"/>
      <c r="T299" s="1"/>
      <c r="U299" s="1"/>
      <c r="V299" s="1"/>
    </row>
    <row r="300" ht="15.75" customHeight="1">
      <c r="A300" s="1"/>
      <c r="B300" s="54"/>
      <c r="C300" s="54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62"/>
      <c r="O300" s="62"/>
      <c r="P300" s="1"/>
      <c r="Q300" s="1"/>
      <c r="R300" s="1"/>
      <c r="S300" s="1"/>
      <c r="T300" s="1"/>
      <c r="U300" s="1"/>
      <c r="V300" s="1"/>
    </row>
    <row r="301" ht="15.75" customHeight="1">
      <c r="A301" s="1"/>
      <c r="B301" s="54"/>
      <c r="C301" s="54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62"/>
      <c r="O301" s="62"/>
      <c r="P301" s="1"/>
      <c r="Q301" s="1"/>
      <c r="R301" s="1"/>
      <c r="S301" s="1"/>
      <c r="T301" s="1"/>
      <c r="U301" s="1"/>
      <c r="V301" s="1"/>
    </row>
    <row r="302" ht="15.75" customHeight="1">
      <c r="A302" s="1"/>
      <c r="B302" s="54"/>
      <c r="C302" s="54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62"/>
      <c r="O302" s="62"/>
      <c r="P302" s="1"/>
      <c r="Q302" s="1"/>
      <c r="R302" s="1"/>
      <c r="S302" s="1"/>
      <c r="T302" s="1"/>
      <c r="U302" s="1"/>
      <c r="V302" s="1"/>
    </row>
    <row r="303" ht="15.75" customHeight="1">
      <c r="A303" s="1"/>
      <c r="B303" s="54"/>
      <c r="C303" s="54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62"/>
      <c r="O303" s="62"/>
      <c r="P303" s="1"/>
      <c r="Q303" s="1"/>
      <c r="R303" s="1"/>
      <c r="S303" s="1"/>
      <c r="T303" s="1"/>
      <c r="U303" s="1"/>
      <c r="V303" s="1"/>
    </row>
    <row r="304" ht="15.75" customHeight="1">
      <c r="A304" s="1"/>
      <c r="B304" s="54"/>
      <c r="C304" s="54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62"/>
      <c r="O304" s="62"/>
      <c r="P304" s="1"/>
      <c r="Q304" s="1"/>
      <c r="R304" s="1"/>
      <c r="S304" s="1"/>
      <c r="T304" s="1"/>
      <c r="U304" s="1"/>
      <c r="V304" s="1"/>
    </row>
    <row r="305" ht="15.75" customHeight="1">
      <c r="A305" s="1"/>
      <c r="B305" s="54"/>
      <c r="C305" s="54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62"/>
      <c r="O305" s="62"/>
      <c r="P305" s="1"/>
      <c r="Q305" s="1"/>
      <c r="R305" s="1"/>
      <c r="S305" s="1"/>
      <c r="T305" s="1"/>
      <c r="U305" s="1"/>
      <c r="V305" s="1"/>
    </row>
    <row r="306" ht="15.75" customHeight="1">
      <c r="A306" s="1"/>
      <c r="B306" s="54"/>
      <c r="C306" s="54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62"/>
      <c r="O306" s="62"/>
      <c r="P306" s="1"/>
      <c r="Q306" s="1"/>
      <c r="R306" s="1"/>
      <c r="S306" s="1"/>
      <c r="T306" s="1"/>
      <c r="U306" s="1"/>
      <c r="V306" s="1"/>
    </row>
    <row r="307" ht="15.75" customHeight="1">
      <c r="A307" s="1"/>
      <c r="B307" s="54"/>
      <c r="C307" s="54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62"/>
      <c r="O307" s="62"/>
      <c r="P307" s="1"/>
      <c r="Q307" s="1"/>
      <c r="R307" s="1"/>
      <c r="S307" s="1"/>
      <c r="T307" s="1"/>
      <c r="U307" s="1"/>
      <c r="V307" s="1"/>
    </row>
    <row r="308" ht="15.75" customHeight="1">
      <c r="A308" s="1"/>
      <c r="B308" s="54"/>
      <c r="C308" s="54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62"/>
      <c r="O308" s="62"/>
      <c r="P308" s="1"/>
      <c r="Q308" s="1"/>
      <c r="R308" s="1"/>
      <c r="S308" s="1"/>
      <c r="T308" s="1"/>
      <c r="U308" s="1"/>
      <c r="V308" s="1"/>
    </row>
    <row r="309" ht="15.75" customHeight="1">
      <c r="A309" s="1"/>
      <c r="B309" s="54"/>
      <c r="C309" s="54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62"/>
      <c r="O309" s="62"/>
      <c r="P309" s="1"/>
      <c r="Q309" s="1"/>
      <c r="R309" s="1"/>
      <c r="S309" s="1"/>
      <c r="T309" s="1"/>
      <c r="U309" s="1"/>
      <c r="V309" s="1"/>
    </row>
    <row r="310" ht="15.75" customHeight="1">
      <c r="A310" s="1"/>
      <c r="B310" s="54"/>
      <c r="C310" s="54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62"/>
      <c r="O310" s="62"/>
      <c r="P310" s="1"/>
      <c r="Q310" s="1"/>
      <c r="R310" s="1"/>
      <c r="S310" s="1"/>
      <c r="T310" s="1"/>
      <c r="U310" s="1"/>
      <c r="V310" s="1"/>
    </row>
    <row r="311" ht="15.75" customHeight="1">
      <c r="A311" s="1"/>
      <c r="B311" s="54"/>
      <c r="C311" s="54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62"/>
      <c r="O311" s="62"/>
      <c r="P311" s="1"/>
      <c r="Q311" s="1"/>
      <c r="R311" s="1"/>
      <c r="S311" s="1"/>
      <c r="T311" s="1"/>
      <c r="U311" s="1"/>
      <c r="V311" s="1"/>
    </row>
    <row r="312" ht="15.75" customHeight="1">
      <c r="A312" s="1"/>
      <c r="B312" s="54"/>
      <c r="C312" s="54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62"/>
      <c r="O312" s="62"/>
      <c r="P312" s="1"/>
      <c r="Q312" s="1"/>
      <c r="R312" s="1"/>
      <c r="S312" s="1"/>
      <c r="T312" s="1"/>
      <c r="U312" s="1"/>
      <c r="V312" s="1"/>
    </row>
    <row r="313" ht="15.75" customHeight="1">
      <c r="A313" s="1"/>
      <c r="B313" s="54"/>
      <c r="C313" s="54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62"/>
      <c r="O313" s="62"/>
      <c r="P313" s="1"/>
      <c r="Q313" s="1"/>
      <c r="R313" s="1"/>
      <c r="S313" s="1"/>
      <c r="T313" s="1"/>
      <c r="U313" s="1"/>
      <c r="V313" s="1"/>
    </row>
    <row r="314" ht="15.75" customHeight="1">
      <c r="A314" s="1"/>
      <c r="B314" s="54"/>
      <c r="C314" s="54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62"/>
      <c r="O314" s="62"/>
      <c r="P314" s="1"/>
      <c r="Q314" s="1"/>
      <c r="R314" s="1"/>
      <c r="S314" s="1"/>
      <c r="T314" s="1"/>
      <c r="U314" s="1"/>
      <c r="V314" s="1"/>
    </row>
    <row r="315" ht="15.75" customHeight="1">
      <c r="A315" s="1"/>
      <c r="B315" s="54"/>
      <c r="C315" s="54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62"/>
      <c r="O315" s="62"/>
      <c r="P315" s="1"/>
      <c r="Q315" s="1"/>
      <c r="R315" s="1"/>
      <c r="S315" s="1"/>
      <c r="T315" s="1"/>
      <c r="U315" s="1"/>
      <c r="V315" s="1"/>
    </row>
    <row r="316" ht="15.75" customHeight="1">
      <c r="A316" s="1"/>
      <c r="B316" s="54"/>
      <c r="C316" s="54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62"/>
      <c r="O316" s="62"/>
      <c r="P316" s="1"/>
      <c r="Q316" s="1"/>
      <c r="R316" s="1"/>
      <c r="S316" s="1"/>
      <c r="T316" s="1"/>
      <c r="U316" s="1"/>
      <c r="V316" s="1"/>
    </row>
    <row r="317" ht="15.75" customHeight="1">
      <c r="A317" s="1"/>
      <c r="B317" s="54"/>
      <c r="C317" s="54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62"/>
      <c r="O317" s="62"/>
      <c r="P317" s="1"/>
      <c r="Q317" s="1"/>
      <c r="R317" s="1"/>
      <c r="S317" s="1"/>
      <c r="T317" s="1"/>
      <c r="U317" s="1"/>
      <c r="V317" s="1"/>
    </row>
    <row r="318" ht="15.75" customHeight="1">
      <c r="A318" s="1"/>
      <c r="B318" s="54"/>
      <c r="C318" s="54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62"/>
      <c r="O318" s="62"/>
      <c r="P318" s="1"/>
      <c r="Q318" s="1"/>
      <c r="R318" s="1"/>
      <c r="S318" s="1"/>
      <c r="T318" s="1"/>
      <c r="U318" s="1"/>
      <c r="V318" s="1"/>
    </row>
    <row r="319" ht="15.75" customHeight="1">
      <c r="A319" s="1"/>
      <c r="B319" s="54"/>
      <c r="C319" s="54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62"/>
      <c r="O319" s="62"/>
      <c r="P319" s="1"/>
      <c r="Q319" s="1"/>
      <c r="R319" s="1"/>
      <c r="S319" s="1"/>
      <c r="T319" s="1"/>
      <c r="U319" s="1"/>
      <c r="V319" s="1"/>
    </row>
    <row r="320" ht="15.75" customHeight="1">
      <c r="A320" s="1"/>
      <c r="B320" s="54"/>
      <c r="C320" s="54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62"/>
      <c r="O320" s="62"/>
      <c r="P320" s="1"/>
      <c r="Q320" s="1"/>
      <c r="R320" s="1"/>
      <c r="S320" s="1"/>
      <c r="T320" s="1"/>
      <c r="U320" s="1"/>
      <c r="V320" s="1"/>
    </row>
    <row r="321" ht="15.75" customHeight="1">
      <c r="A321" s="1"/>
      <c r="B321" s="54"/>
      <c r="C321" s="54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62"/>
      <c r="O321" s="62"/>
      <c r="P321" s="1"/>
      <c r="Q321" s="1"/>
      <c r="R321" s="1"/>
      <c r="S321" s="1"/>
      <c r="T321" s="1"/>
      <c r="U321" s="1"/>
      <c r="V321" s="1"/>
    </row>
    <row r="322" ht="15.75" customHeight="1">
      <c r="A322" s="1"/>
      <c r="B322" s="54"/>
      <c r="C322" s="54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62"/>
      <c r="O322" s="62"/>
      <c r="P322" s="1"/>
      <c r="Q322" s="1"/>
      <c r="R322" s="1"/>
      <c r="S322" s="1"/>
      <c r="T322" s="1"/>
      <c r="U322" s="1"/>
      <c r="V322" s="1"/>
    </row>
    <row r="323" ht="15.75" customHeight="1">
      <c r="A323" s="1"/>
      <c r="B323" s="54"/>
      <c r="C323" s="5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62"/>
      <c r="O323" s="62"/>
      <c r="P323" s="1"/>
      <c r="Q323" s="1"/>
      <c r="R323" s="1"/>
      <c r="S323" s="1"/>
      <c r="T323" s="1"/>
      <c r="U323" s="1"/>
      <c r="V323" s="1"/>
    </row>
    <row r="324" ht="15.75" customHeight="1">
      <c r="A324" s="1"/>
      <c r="B324" s="54"/>
      <c r="C324" s="5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62"/>
      <c r="O324" s="62"/>
      <c r="P324" s="1"/>
      <c r="Q324" s="1"/>
      <c r="R324" s="1"/>
      <c r="S324" s="1"/>
      <c r="T324" s="1"/>
      <c r="U324" s="1"/>
      <c r="V324" s="1"/>
    </row>
    <row r="325" ht="15.75" customHeight="1">
      <c r="A325" s="1"/>
      <c r="B325" s="54"/>
      <c r="C325" s="5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62"/>
      <c r="O325" s="62"/>
      <c r="P325" s="1"/>
      <c r="Q325" s="1"/>
      <c r="R325" s="1"/>
      <c r="S325" s="1"/>
      <c r="T325" s="1"/>
      <c r="U325" s="1"/>
      <c r="V325" s="1"/>
    </row>
    <row r="326" ht="15.75" customHeight="1">
      <c r="A326" s="1"/>
      <c r="B326" s="54"/>
      <c r="C326" s="5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62"/>
      <c r="O326" s="62"/>
      <c r="P326" s="1"/>
      <c r="Q326" s="1"/>
      <c r="R326" s="1"/>
      <c r="S326" s="1"/>
      <c r="T326" s="1"/>
      <c r="U326" s="1"/>
      <c r="V326" s="1"/>
    </row>
    <row r="327" ht="15.75" customHeight="1">
      <c r="A327" s="1"/>
      <c r="B327" s="54"/>
      <c r="C327" s="5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62"/>
      <c r="O327" s="62"/>
      <c r="P327" s="1"/>
      <c r="Q327" s="1"/>
      <c r="R327" s="1"/>
      <c r="S327" s="1"/>
      <c r="T327" s="1"/>
      <c r="U327" s="1"/>
      <c r="V327" s="1"/>
    </row>
    <row r="328" ht="15.75" customHeight="1">
      <c r="A328" s="1"/>
      <c r="B328" s="54"/>
      <c r="C328" s="5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62"/>
      <c r="O328" s="62"/>
      <c r="P328" s="1"/>
      <c r="Q328" s="1"/>
      <c r="R328" s="1"/>
      <c r="S328" s="1"/>
      <c r="T328" s="1"/>
      <c r="U328" s="1"/>
      <c r="V328" s="1"/>
    </row>
    <row r="329" ht="15.75" customHeight="1">
      <c r="A329" s="1"/>
      <c r="B329" s="54"/>
      <c r="C329" s="5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62"/>
      <c r="O329" s="62"/>
      <c r="P329" s="1"/>
      <c r="Q329" s="1"/>
      <c r="R329" s="1"/>
      <c r="S329" s="1"/>
      <c r="T329" s="1"/>
      <c r="U329" s="1"/>
      <c r="V329" s="1"/>
    </row>
    <row r="330" ht="15.75" customHeight="1">
      <c r="A330" s="1"/>
      <c r="B330" s="54"/>
      <c r="C330" s="54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62"/>
      <c r="O330" s="62"/>
      <c r="P330" s="1"/>
      <c r="Q330" s="1"/>
      <c r="R330" s="1"/>
      <c r="S330" s="1"/>
      <c r="T330" s="1"/>
      <c r="U330" s="1"/>
      <c r="V330" s="1"/>
    </row>
    <row r="331" ht="15.75" customHeight="1">
      <c r="A331" s="1"/>
      <c r="B331" s="54"/>
      <c r="C331" s="5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62"/>
      <c r="O331" s="62"/>
      <c r="P331" s="1"/>
      <c r="Q331" s="1"/>
      <c r="R331" s="1"/>
      <c r="S331" s="1"/>
      <c r="T331" s="1"/>
      <c r="U331" s="1"/>
      <c r="V331" s="1"/>
    </row>
    <row r="332" ht="15.75" customHeight="1">
      <c r="A332" s="1"/>
      <c r="B332" s="54"/>
      <c r="C332" s="5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62"/>
      <c r="O332" s="62"/>
      <c r="P332" s="1"/>
      <c r="Q332" s="1"/>
      <c r="R332" s="1"/>
      <c r="S332" s="1"/>
      <c r="T332" s="1"/>
      <c r="U332" s="1"/>
      <c r="V332" s="1"/>
    </row>
    <row r="333" ht="15.75" customHeight="1">
      <c r="A333" s="1"/>
      <c r="B333" s="54"/>
      <c r="C333" s="5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62"/>
      <c r="O333" s="62"/>
      <c r="P333" s="1"/>
      <c r="Q333" s="1"/>
      <c r="R333" s="1"/>
      <c r="S333" s="1"/>
      <c r="T333" s="1"/>
      <c r="U333" s="1"/>
      <c r="V333" s="1"/>
    </row>
    <row r="334" ht="15.75" customHeight="1">
      <c r="A334" s="1"/>
      <c r="B334" s="54"/>
      <c r="C334" s="5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62"/>
      <c r="O334" s="62"/>
      <c r="P334" s="1"/>
      <c r="Q334" s="1"/>
      <c r="R334" s="1"/>
      <c r="S334" s="1"/>
      <c r="T334" s="1"/>
      <c r="U334" s="1"/>
      <c r="V334" s="1"/>
    </row>
    <row r="335" ht="15.75" customHeight="1">
      <c r="A335" s="1"/>
      <c r="B335" s="54"/>
      <c r="C335" s="5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62"/>
      <c r="O335" s="62"/>
      <c r="P335" s="1"/>
      <c r="Q335" s="1"/>
      <c r="R335" s="1"/>
      <c r="S335" s="1"/>
      <c r="T335" s="1"/>
      <c r="U335" s="1"/>
      <c r="V335" s="1"/>
    </row>
    <row r="336" ht="15.75" customHeight="1">
      <c r="A336" s="1"/>
      <c r="B336" s="54"/>
      <c r="C336" s="5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62"/>
      <c r="O336" s="62"/>
      <c r="P336" s="1"/>
      <c r="Q336" s="1"/>
      <c r="R336" s="1"/>
      <c r="S336" s="1"/>
      <c r="T336" s="1"/>
      <c r="U336" s="1"/>
      <c r="V336" s="1"/>
    </row>
    <row r="337" ht="15.75" customHeight="1">
      <c r="A337" s="1"/>
      <c r="B337" s="54"/>
      <c r="C337" s="5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62"/>
      <c r="O337" s="62"/>
      <c r="P337" s="1"/>
      <c r="Q337" s="1"/>
      <c r="R337" s="1"/>
      <c r="S337" s="1"/>
      <c r="T337" s="1"/>
      <c r="U337" s="1"/>
      <c r="V337" s="1"/>
    </row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2:Q2"/>
    <mergeCell ref="B4:D4"/>
    <mergeCell ref="F4:H4"/>
    <mergeCell ref="B5:C5"/>
    <mergeCell ref="F5:G5"/>
    <mergeCell ref="B6:C6"/>
    <mergeCell ref="B7:C7"/>
    <mergeCell ref="F6:G6"/>
    <mergeCell ref="F7:G7"/>
    <mergeCell ref="B8:C8"/>
    <mergeCell ref="F8:G8"/>
    <mergeCell ref="B9:C9"/>
    <mergeCell ref="F9:G9"/>
    <mergeCell ref="B10:C10"/>
    <mergeCell ref="B15:C15"/>
    <mergeCell ref="B16:C16"/>
    <mergeCell ref="O18:Q18"/>
    <mergeCell ref="F10:G10"/>
    <mergeCell ref="B12:H12"/>
    <mergeCell ref="B13:D13"/>
    <mergeCell ref="F13:H13"/>
    <mergeCell ref="B14:C14"/>
    <mergeCell ref="F14:G14"/>
    <mergeCell ref="F15:H16"/>
  </mergeCells>
  <conditionalFormatting sqref="A20:Q67">
    <cfRule type="expression" dxfId="0" priority="1">
      <formula>$B20=$D$15</formula>
    </cfRule>
  </conditionalFormatting>
  <conditionalFormatting sqref="A20:Q67">
    <cfRule type="expression" dxfId="1" priority="2">
      <formula>$B20=$H$15</formula>
    </cfRule>
  </conditionalFormatting>
  <drawing r:id="rId2"/>
  <legacyDrawing r:id="rId3"/>
</worksheet>
</file>